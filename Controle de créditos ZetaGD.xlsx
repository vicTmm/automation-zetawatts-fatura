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harts/chart7.xml" ContentType="application/vnd.openxmlformats-officedocument.drawingml.chart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Lívia Paraquett\Downloads\"/>
    </mc:Choice>
  </mc:AlternateContent>
  <xr:revisionPtr revIDLastSave="0" documentId="13_ncr:1_{FA96461D-A2CC-4C67-91B2-FF0E97B6933A}" xr6:coauthVersionLast="47" xr6:coauthVersionMax="47" xr10:uidLastSave="{00000000-0000-0000-0000-000000000000}"/>
  <bookViews>
    <workbookView xWindow="-110" yWindow="-110" windowWidth="19420" windowHeight="10300" firstSheet="9" activeTab="11" xr2:uid="{00000000-000D-0000-FFFF-FFFF00000000}"/>
  </bookViews>
  <sheets>
    <sheet name="DRE" sheetId="1" r:id="rId1"/>
    <sheet name="Projeção" sheetId="2" r:id="rId2"/>
    <sheet name="Financiamento" sheetId="3" r:id="rId3"/>
    <sheet name="Geração por usina" sheetId="4" r:id="rId4"/>
    <sheet name="Créditos CP" sheetId="5" r:id="rId5"/>
    <sheet name="Registro_inversores" sheetId="6" r:id="rId6"/>
    <sheet name="Créditos ZeroHum" sheetId="7" r:id="rId7"/>
    <sheet name="Crédito Pres Kennedy" sheetId="8" r:id="rId8"/>
    <sheet name="Faturamento 235" sheetId="9" r:id="rId9"/>
    <sheet name="Faturamento 281" sheetId="10" r:id="rId10"/>
    <sheet name="Faturamento Itaipu" sheetId="11" r:id="rId11"/>
    <sheet name="Faturamento Icaraí" sheetId="12" r:id="rId12"/>
    <sheet name="Faturamento Laura Jardim" sheetId="13" r:id="rId13"/>
    <sheet name="Faturamento Essencial" sheetId="14" r:id="rId14"/>
    <sheet name="Faturamento Geraldo Martins" sheetId="15" r:id="rId15"/>
    <sheet name="Faturamento Pio Borges" sheetId="16" r:id="rId16"/>
    <sheet name="Faturamento ZeroHum Maricá" sheetId="17" r:id="rId17"/>
  </sheets>
  <calcPr calcId="191029"/>
  <extLst>
    <ext uri="GoogleSheetsCustomDataVersion2">
      <go:sheetsCustomData xmlns:go="http://customooxmlschemas.google.com/" r:id="rId21" roundtripDataChecksum="PZBx/HJWmSI4dmDu6FvHBYqaQUdCo6TTK+dvLd6Q3xc="/>
    </ext>
  </extLst>
</workbook>
</file>

<file path=xl/calcChain.xml><?xml version="1.0" encoding="utf-8"?>
<calcChain xmlns="http://schemas.openxmlformats.org/spreadsheetml/2006/main">
  <c r="AK1" i="12" l="1"/>
  <c r="AK16" i="12"/>
  <c r="AK13" i="12"/>
  <c r="AK12" i="12"/>
  <c r="AK11" i="12"/>
  <c r="AK10" i="12"/>
  <c r="AK9" i="12"/>
  <c r="AK8" i="12"/>
  <c r="AJ9" i="12"/>
  <c r="AJ8" i="12"/>
  <c r="AI9" i="12"/>
  <c r="AI8" i="12"/>
  <c r="P43" i="12"/>
  <c r="R7" i="17"/>
  <c r="I43" i="12"/>
  <c r="R43" i="12" s="1"/>
  <c r="Q43" i="12" s="1"/>
  <c r="H43" i="12"/>
  <c r="O43" i="12" s="1"/>
  <c r="J43" i="12"/>
  <c r="V7" i="17"/>
  <c r="M7" i="17"/>
  <c r="U7" i="17" s="1"/>
  <c r="L7" i="17"/>
  <c r="J7" i="17"/>
  <c r="AD63" i="1"/>
  <c r="AC63" i="1"/>
  <c r="AB63" i="1"/>
  <c r="U63" i="1"/>
  <c r="Q63" i="1"/>
  <c r="L63" i="1"/>
  <c r="K63" i="1"/>
  <c r="J63" i="1" s="1"/>
  <c r="B63" i="1"/>
  <c r="A63" i="1"/>
  <c r="AD62" i="1"/>
  <c r="AC62" i="1"/>
  <c r="AB62" i="1"/>
  <c r="U62" i="1"/>
  <c r="Q62" i="1"/>
  <c r="L62" i="1"/>
  <c r="K62" i="1"/>
  <c r="J62" i="1"/>
  <c r="B62" i="1"/>
  <c r="A62" i="1"/>
  <c r="G32" i="13"/>
  <c r="O32" i="13" s="1"/>
  <c r="F32" i="13"/>
  <c r="K32" i="13" s="1"/>
  <c r="H45" i="10" a="1"/>
  <c r="H45" i="10" s="1"/>
  <c r="F45" i="10"/>
  <c r="AB46" i="5"/>
  <c r="Z46" i="5"/>
  <c r="H43" i="10" a="1"/>
  <c r="H43" i="10" s="1"/>
  <c r="H44" i="10" s="1" a="1"/>
  <c r="H44" i="10" s="1"/>
  <c r="H42" i="10" a="1"/>
  <c r="H42" i="10" s="1"/>
  <c r="H40" i="10" a="1"/>
  <c r="H40" i="10" s="1"/>
  <c r="H39" i="10" a="1"/>
  <c r="H39" i="10" s="1"/>
  <c r="H38" i="10" a="1"/>
  <c r="H38" i="10" s="1"/>
  <c r="H37" i="10" a="1"/>
  <c r="H37" i="10" s="1"/>
  <c r="B37" i="10" s="1"/>
  <c r="H36" i="10" a="1"/>
  <c r="H36" i="10" s="1"/>
  <c r="H35" i="10" a="1"/>
  <c r="H35" i="10" s="1"/>
  <c r="H34" i="10" a="1"/>
  <c r="H34" i="10" s="1"/>
  <c r="H33" i="10" a="1"/>
  <c r="H33" i="10" s="1"/>
  <c r="H32" i="10" a="1"/>
  <c r="H32" i="10" s="1"/>
  <c r="H31" i="10" a="1"/>
  <c r="H31" i="10" s="1"/>
  <c r="B31" i="10" s="1"/>
  <c r="J45" i="9"/>
  <c r="L45" i="9" a="1"/>
  <c r="L45" i="9" s="1"/>
  <c r="F45" i="9"/>
  <c r="L44" i="9" a="1"/>
  <c r="L44" i="9" s="1"/>
  <c r="L43" i="9" a="1"/>
  <c r="L43" i="9" s="1"/>
  <c r="L42" i="9" a="1"/>
  <c r="L42" i="9" s="1"/>
  <c r="L41" i="9" a="1"/>
  <c r="L41" i="9" s="1"/>
  <c r="L40" i="9" a="1"/>
  <c r="L40" i="9" s="1"/>
  <c r="L39" i="9" a="1"/>
  <c r="L39" i="9" s="1"/>
  <c r="L38" i="9" a="1"/>
  <c r="L38" i="9" s="1"/>
  <c r="L37" i="9" a="1"/>
  <c r="L37" i="9" s="1"/>
  <c r="L36" i="9" a="1"/>
  <c r="L36" i="9" s="1"/>
  <c r="L35" i="9" a="1"/>
  <c r="L35" i="9" s="1"/>
  <c r="L34" i="9" a="1"/>
  <c r="L34" i="9" s="1"/>
  <c r="L33" i="9" a="1"/>
  <c r="L33" i="9" s="1"/>
  <c r="L32" i="9" a="1"/>
  <c r="L32" i="9" s="1"/>
  <c r="L31" i="9" a="1"/>
  <c r="L31" i="9" s="1"/>
  <c r="I46" i="5"/>
  <c r="H46" i="5"/>
  <c r="E46" i="5"/>
  <c r="H26" i="6"/>
  <c r="F26" i="6"/>
  <c r="S25" i="6" a="1"/>
  <c r="S25" i="6" s="1"/>
  <c r="R25" i="6" a="1"/>
  <c r="R25" i="6" s="1"/>
  <c r="P25" i="6" a="1"/>
  <c r="P25" i="6" s="1"/>
  <c r="M25" i="6" a="1"/>
  <c r="M25" i="6" s="1"/>
  <c r="L25" i="6" a="1"/>
  <c r="L25" i="6" s="1"/>
  <c r="J25" i="6" a="1"/>
  <c r="J25" i="6" s="1"/>
  <c r="S24" i="6" a="1"/>
  <c r="S24" i="6" s="1"/>
  <c r="R24" i="6" a="1"/>
  <c r="R24" i="6" s="1"/>
  <c r="P24" i="6" a="1"/>
  <c r="P24" i="6" s="1"/>
  <c r="M24" i="6" a="1"/>
  <c r="M24" i="6" s="1"/>
  <c r="L24" i="6" a="1"/>
  <c r="L24" i="6" s="1"/>
  <c r="J24" i="6" a="1"/>
  <c r="J24" i="6" s="1"/>
  <c r="S23" i="6" a="1"/>
  <c r="S23" i="6" s="1"/>
  <c r="R23" i="6" a="1"/>
  <c r="R23" i="6" s="1"/>
  <c r="P23" i="6" a="1"/>
  <c r="P23" i="6" s="1"/>
  <c r="M23" i="6" a="1"/>
  <c r="M23" i="6" s="1"/>
  <c r="L23" i="6" a="1"/>
  <c r="L23" i="6" s="1"/>
  <c r="J23" i="6" a="1"/>
  <c r="J23" i="6" s="1"/>
  <c r="S22" i="6" a="1"/>
  <c r="S22" i="6" s="1"/>
  <c r="R22" i="6" a="1"/>
  <c r="R22" i="6" s="1"/>
  <c r="P22" i="6" a="1"/>
  <c r="P22" i="6" s="1"/>
  <c r="M22" i="6" a="1"/>
  <c r="M22" i="6" s="1"/>
  <c r="L22" i="6" a="1"/>
  <c r="L22" i="6" s="1"/>
  <c r="J22" i="6" a="1"/>
  <c r="J22" i="6" s="1"/>
  <c r="S21" i="6" a="1"/>
  <c r="S21" i="6" s="1"/>
  <c r="R21" i="6" a="1"/>
  <c r="R21" i="6" s="1"/>
  <c r="P21" i="6" a="1"/>
  <c r="P21" i="6" s="1"/>
  <c r="M21" i="6" a="1"/>
  <c r="M21" i="6" s="1"/>
  <c r="L21" i="6" a="1"/>
  <c r="L21" i="6" s="1"/>
  <c r="J21" i="6" a="1"/>
  <c r="J21" i="6" s="1"/>
  <c r="S20" i="6" a="1"/>
  <c r="S20" i="6" s="1"/>
  <c r="R20" i="6" a="1"/>
  <c r="R20" i="6" s="1"/>
  <c r="P20" i="6" a="1"/>
  <c r="P20" i="6" s="1"/>
  <c r="M20" i="6" a="1"/>
  <c r="M20" i="6" s="1"/>
  <c r="L20" i="6" a="1"/>
  <c r="L20" i="6" s="1"/>
  <c r="J20" i="6" a="1"/>
  <c r="J20" i="6" s="1"/>
  <c r="S19" i="6" a="1"/>
  <c r="S19" i="6" s="1"/>
  <c r="R19" i="6" a="1"/>
  <c r="R19" i="6" s="1"/>
  <c r="P19" i="6" a="1"/>
  <c r="P19" i="6" s="1"/>
  <c r="M19" i="6" a="1"/>
  <c r="M19" i="6" s="1"/>
  <c r="L19" i="6" a="1"/>
  <c r="L19" i="6" s="1"/>
  <c r="J19" i="6" a="1"/>
  <c r="J19" i="6" s="1"/>
  <c r="S18" i="6" a="1"/>
  <c r="S18" i="6" s="1"/>
  <c r="R18" i="6" a="1"/>
  <c r="R18" i="6" s="1"/>
  <c r="P18" i="6" a="1"/>
  <c r="P18" i="6" s="1"/>
  <c r="M18" i="6" a="1"/>
  <c r="M18" i="6" s="1"/>
  <c r="L18" i="6" a="1"/>
  <c r="L18" i="6" s="1"/>
  <c r="J18" i="6" a="1"/>
  <c r="J18" i="6" s="1"/>
  <c r="S17" i="6" a="1"/>
  <c r="S17" i="6" s="1"/>
  <c r="R17" i="6" a="1"/>
  <c r="R17" i="6" s="1"/>
  <c r="P17" i="6" a="1"/>
  <c r="P17" i="6" s="1"/>
  <c r="M17" i="6" a="1"/>
  <c r="M17" i="6" s="1"/>
  <c r="L17" i="6" a="1"/>
  <c r="L17" i="6" s="1"/>
  <c r="J17" i="6" a="1"/>
  <c r="J17" i="6" s="1"/>
  <c r="S16" i="6" a="1"/>
  <c r="S16" i="6" s="1"/>
  <c r="R16" i="6" a="1"/>
  <c r="R16" i="6" s="1"/>
  <c r="P16" i="6" a="1"/>
  <c r="P16" i="6" s="1"/>
  <c r="M16" i="6" a="1"/>
  <c r="M16" i="6" s="1"/>
  <c r="L16" i="6" a="1"/>
  <c r="L16" i="6" s="1"/>
  <c r="J16" i="6" a="1"/>
  <c r="J16" i="6" s="1"/>
  <c r="S15" i="6" a="1"/>
  <c r="S15" i="6" s="1"/>
  <c r="R15" i="6" a="1"/>
  <c r="R15" i="6" s="1"/>
  <c r="P15" i="6" a="1"/>
  <c r="P15" i="6" s="1"/>
  <c r="M15" i="6" a="1"/>
  <c r="M15" i="6" s="1"/>
  <c r="L15" i="6" a="1"/>
  <c r="L15" i="6" s="1"/>
  <c r="J15" i="6" a="1"/>
  <c r="J15" i="6" s="1"/>
  <c r="S14" i="6" a="1"/>
  <c r="S14" i="6" s="1"/>
  <c r="R14" i="6" a="1"/>
  <c r="R14" i="6" s="1"/>
  <c r="P14" i="6" a="1"/>
  <c r="P14" i="6" s="1"/>
  <c r="M14" i="6" a="1"/>
  <c r="M14" i="6" s="1"/>
  <c r="L14" i="6" a="1"/>
  <c r="L14" i="6" s="1"/>
  <c r="J14" i="6" a="1"/>
  <c r="J14" i="6" s="1"/>
  <c r="S13" i="6" a="1"/>
  <c r="S13" i="6" s="1"/>
  <c r="R13" i="6" a="1"/>
  <c r="R13" i="6" s="1"/>
  <c r="P13" i="6" a="1"/>
  <c r="P13" i="6" s="1"/>
  <c r="M13" i="6" a="1"/>
  <c r="M13" i="6" s="1"/>
  <c r="L13" i="6" a="1"/>
  <c r="L13" i="6" s="1"/>
  <c r="J13" i="6" a="1"/>
  <c r="J13" i="6" s="1"/>
  <c r="S12" i="6" a="1"/>
  <c r="S12" i="6" s="1"/>
  <c r="R12" i="6" a="1"/>
  <c r="R12" i="6" s="1"/>
  <c r="P12" i="6" a="1"/>
  <c r="P12" i="6" s="1"/>
  <c r="M12" i="6" a="1"/>
  <c r="M12" i="6" s="1"/>
  <c r="L12" i="6" a="1"/>
  <c r="L12" i="6" s="1"/>
  <c r="J12" i="6"/>
  <c r="S11" i="6" a="1"/>
  <c r="S11" i="6" s="1"/>
  <c r="R11" i="6" a="1"/>
  <c r="R11" i="6" s="1"/>
  <c r="P11" i="6" a="1"/>
  <c r="P11" i="6" s="1"/>
  <c r="M11" i="6" a="1"/>
  <c r="M11" i="6" s="1"/>
  <c r="L11" i="6" a="1"/>
  <c r="L11" i="6" s="1"/>
  <c r="J11" i="6"/>
  <c r="S10" i="6" a="1"/>
  <c r="S10" i="6" s="1"/>
  <c r="R10" i="6" a="1"/>
  <c r="R10" i="6" s="1"/>
  <c r="P10" i="6" a="1"/>
  <c r="P10" i="6" s="1"/>
  <c r="M10" i="6" a="1"/>
  <c r="M10" i="6" s="1"/>
  <c r="L10" i="6" a="1"/>
  <c r="L10" i="6" s="1"/>
  <c r="J10" i="6"/>
  <c r="S9" i="6" a="1"/>
  <c r="S9" i="6" s="1"/>
  <c r="R9" i="6" a="1"/>
  <c r="R9" i="6" s="1"/>
  <c r="P9" i="6" a="1"/>
  <c r="P9" i="6" s="1"/>
  <c r="M9" i="6" a="1"/>
  <c r="M9" i="6" s="1"/>
  <c r="L9" i="6" a="1"/>
  <c r="L9" i="6" s="1"/>
  <c r="J9" i="6"/>
  <c r="S8" i="6" a="1"/>
  <c r="S8" i="6" s="1"/>
  <c r="R8" i="6" a="1"/>
  <c r="R8" i="6" s="1"/>
  <c r="P8" i="6" a="1"/>
  <c r="P8" i="6" s="1"/>
  <c r="M8" i="6" a="1"/>
  <c r="M8" i="6" s="1"/>
  <c r="L8" i="6" a="1"/>
  <c r="L8" i="6" s="1"/>
  <c r="J8" i="6"/>
  <c r="S7" i="6" a="1"/>
  <c r="S7" i="6" s="1"/>
  <c r="R7" i="6" a="1"/>
  <c r="R7" i="6" s="1"/>
  <c r="P7" i="6" a="1"/>
  <c r="P7" i="6" s="1"/>
  <c r="M7" i="6" a="1"/>
  <c r="M7" i="6" s="1"/>
  <c r="L7" i="6" a="1"/>
  <c r="L7" i="6" s="1"/>
  <c r="J7" i="6"/>
  <c r="S6" i="6" a="1"/>
  <c r="S6" i="6" s="1"/>
  <c r="R6" i="6" a="1"/>
  <c r="R6" i="6" s="1"/>
  <c r="P6" i="6" a="1"/>
  <c r="P6" i="6" s="1"/>
  <c r="M6" i="6" a="1"/>
  <c r="M6" i="6" s="1"/>
  <c r="L6" i="6" a="1"/>
  <c r="L6" i="6" s="1"/>
  <c r="J6" i="6"/>
  <c r="S5" i="6" a="1"/>
  <c r="S5" i="6" s="1"/>
  <c r="R5" i="6" a="1"/>
  <c r="R5" i="6" s="1"/>
  <c r="P5" i="6" a="1"/>
  <c r="P5" i="6" s="1"/>
  <c r="M5" i="6" a="1"/>
  <c r="M5" i="6" s="1"/>
  <c r="L5" i="6" a="1"/>
  <c r="L5" i="6" s="1"/>
  <c r="J5" i="6"/>
  <c r="S4" i="6" a="1"/>
  <c r="S4" i="6" s="1"/>
  <c r="R4" i="6" a="1"/>
  <c r="R4" i="6" s="1"/>
  <c r="P4" i="6" a="1"/>
  <c r="P4" i="6" s="1"/>
  <c r="M4" i="6" a="1"/>
  <c r="M4" i="6" s="1"/>
  <c r="L4" i="6" a="1"/>
  <c r="L4" i="6" s="1"/>
  <c r="J4" i="6"/>
  <c r="J3" i="6"/>
  <c r="J2" i="6" a="1"/>
  <c r="J2" i="6" s="1"/>
  <c r="O27" i="14"/>
  <c r="N27" i="14"/>
  <c r="M27" i="14"/>
  <c r="L27" i="14" s="1"/>
  <c r="P27" i="14" s="1"/>
  <c r="G27" i="14"/>
  <c r="F27" i="14"/>
  <c r="K27" i="14" s="1"/>
  <c r="V6" i="17"/>
  <c r="M6" i="17"/>
  <c r="U6" i="17" s="1"/>
  <c r="L6" i="17"/>
  <c r="J6" i="17"/>
  <c r="R6" i="17" s="1"/>
  <c r="V5" i="17"/>
  <c r="Q5" i="17"/>
  <c r="M5" i="17"/>
  <c r="U5" i="17" s="1"/>
  <c r="L5" i="17"/>
  <c r="J5" i="17"/>
  <c r="R5" i="17" s="1"/>
  <c r="V4" i="17"/>
  <c r="M4" i="17"/>
  <c r="U4" i="17" s="1"/>
  <c r="L4" i="17"/>
  <c r="J4" i="17"/>
  <c r="R4" i="17" s="1"/>
  <c r="V3" i="17"/>
  <c r="M3" i="17"/>
  <c r="U3" i="17" s="1"/>
  <c r="L3" i="17"/>
  <c r="J3" i="17"/>
  <c r="R3" i="17" s="1"/>
  <c r="V2" i="17"/>
  <c r="Q2" i="17"/>
  <c r="M2" i="17"/>
  <c r="U2" i="17" s="1"/>
  <c r="L2" i="17"/>
  <c r="J2" i="17"/>
  <c r="R2" i="17" s="1"/>
  <c r="V14" i="16"/>
  <c r="M14" i="16"/>
  <c r="U14" i="16" s="1"/>
  <c r="L14" i="16"/>
  <c r="J14" i="16"/>
  <c r="R14" i="16" s="1"/>
  <c r="V13" i="16"/>
  <c r="M13" i="16"/>
  <c r="U13" i="16" s="1"/>
  <c r="L13" i="16"/>
  <c r="J13" i="16"/>
  <c r="R13" i="16" s="1"/>
  <c r="V12" i="16"/>
  <c r="M12" i="16"/>
  <c r="U12" i="16" s="1"/>
  <c r="L12" i="16"/>
  <c r="J12" i="16"/>
  <c r="R12" i="16" s="1"/>
  <c r="V11" i="16"/>
  <c r="M11" i="16"/>
  <c r="U11" i="16" s="1"/>
  <c r="L11" i="16"/>
  <c r="J11" i="16"/>
  <c r="R11" i="16" s="1"/>
  <c r="V10" i="16"/>
  <c r="Q10" i="16"/>
  <c r="M10" i="16"/>
  <c r="U10" i="16" s="1"/>
  <c r="L10" i="16"/>
  <c r="J10" i="16"/>
  <c r="R10" i="16" s="1"/>
  <c r="V9" i="16"/>
  <c r="Q9" i="16"/>
  <c r="M9" i="16"/>
  <c r="U9" i="16" s="1"/>
  <c r="L9" i="16"/>
  <c r="J9" i="16"/>
  <c r="R9" i="16" s="1"/>
  <c r="V8" i="16"/>
  <c r="Q8" i="16"/>
  <c r="M8" i="16"/>
  <c r="U8" i="16" s="1"/>
  <c r="L8" i="16"/>
  <c r="J8" i="16"/>
  <c r="R8" i="16" s="1"/>
  <c r="V7" i="16"/>
  <c r="Q7" i="16"/>
  <c r="M7" i="16"/>
  <c r="L7" i="16"/>
  <c r="I7" i="16"/>
  <c r="V6" i="16"/>
  <c r="Q6" i="16"/>
  <c r="M6" i="16"/>
  <c r="U6" i="16" s="1"/>
  <c r="L6" i="16"/>
  <c r="J6" i="16"/>
  <c r="R6" i="16" s="1"/>
  <c r="V5" i="16"/>
  <c r="M5" i="16"/>
  <c r="U5" i="16" s="1"/>
  <c r="L5" i="16"/>
  <c r="J5" i="16"/>
  <c r="R5" i="16" s="1"/>
  <c r="V4" i="16"/>
  <c r="Q4" i="16"/>
  <c r="M4" i="16"/>
  <c r="U4" i="16" s="1"/>
  <c r="L4" i="16"/>
  <c r="J4" i="16"/>
  <c r="R4" i="16" s="1"/>
  <c r="Q3" i="16"/>
  <c r="M3" i="16"/>
  <c r="U3" i="16" s="1"/>
  <c r="L3" i="16"/>
  <c r="W3" i="16" s="1"/>
  <c r="K3" i="16"/>
  <c r="J3" i="16"/>
  <c r="R3" i="16" s="1"/>
  <c r="W2" i="16"/>
  <c r="Q2" i="16"/>
  <c r="M2" i="16"/>
  <c r="U2" i="16" s="1"/>
  <c r="K2" i="16"/>
  <c r="J2" i="16"/>
  <c r="R2" i="16" s="1"/>
  <c r="D2" i="16"/>
  <c r="E2" i="16" s="1"/>
  <c r="T14" i="15"/>
  <c r="K14" i="15"/>
  <c r="S14" i="15" s="1"/>
  <c r="J14" i="15"/>
  <c r="H14" i="15"/>
  <c r="P14" i="15" s="1"/>
  <c r="T13" i="15"/>
  <c r="K13" i="15"/>
  <c r="S13" i="15" s="1"/>
  <c r="J13" i="15"/>
  <c r="H13" i="15"/>
  <c r="P13" i="15" s="1"/>
  <c r="T12" i="15"/>
  <c r="K12" i="15"/>
  <c r="S12" i="15" s="1"/>
  <c r="J12" i="15"/>
  <c r="H12" i="15"/>
  <c r="P12" i="15" s="1"/>
  <c r="T11" i="15"/>
  <c r="M11" i="15"/>
  <c r="Q11" i="15" s="1"/>
  <c r="K11" i="15"/>
  <c r="S11" i="15" s="1"/>
  <c r="J11" i="15"/>
  <c r="H11" i="15"/>
  <c r="P11" i="15" s="1"/>
  <c r="T10" i="15"/>
  <c r="O10" i="15"/>
  <c r="K10" i="15"/>
  <c r="S10" i="15" s="1"/>
  <c r="J10" i="15"/>
  <c r="H10" i="15"/>
  <c r="P10" i="15" s="1"/>
  <c r="T9" i="15"/>
  <c r="O9" i="15"/>
  <c r="K9" i="15"/>
  <c r="S9" i="15" s="1"/>
  <c r="J9" i="15"/>
  <c r="H9" i="15"/>
  <c r="P9" i="15" s="1"/>
  <c r="T8" i="15"/>
  <c r="O8" i="15"/>
  <c r="K8" i="15"/>
  <c r="S8" i="15" s="1"/>
  <c r="J8" i="15"/>
  <c r="H8" i="15"/>
  <c r="P8" i="15" s="1"/>
  <c r="T7" i="15"/>
  <c r="O7" i="15"/>
  <c r="K7" i="15"/>
  <c r="J7" i="15"/>
  <c r="G7" i="15"/>
  <c r="T6" i="15"/>
  <c r="O6" i="15"/>
  <c r="K6" i="15"/>
  <c r="S6" i="15" s="1"/>
  <c r="J6" i="15"/>
  <c r="H6" i="15"/>
  <c r="P6" i="15" s="1"/>
  <c r="T5" i="15"/>
  <c r="O5" i="15"/>
  <c r="K5" i="15"/>
  <c r="S5" i="15" s="1"/>
  <c r="J5" i="15"/>
  <c r="H5" i="15"/>
  <c r="P5" i="15" s="1"/>
  <c r="T4" i="15"/>
  <c r="O4" i="15"/>
  <c r="K4" i="15"/>
  <c r="S4" i="15" s="1"/>
  <c r="J4" i="15"/>
  <c r="H4" i="15"/>
  <c r="P4" i="15" s="1"/>
  <c r="O3" i="15"/>
  <c r="M3" i="15"/>
  <c r="K3" i="15"/>
  <c r="S3" i="15" s="1"/>
  <c r="J3" i="15"/>
  <c r="U3" i="15" s="1"/>
  <c r="I3" i="15"/>
  <c r="H3" i="15"/>
  <c r="P3" i="15" s="1"/>
  <c r="O2" i="15"/>
  <c r="K2" i="15"/>
  <c r="S2" i="15" s="1"/>
  <c r="J2" i="15"/>
  <c r="U2" i="15" s="1"/>
  <c r="I2" i="15"/>
  <c r="H2" i="15"/>
  <c r="P2" i="15" s="1"/>
  <c r="G26" i="14"/>
  <c r="O26" i="14" s="1"/>
  <c r="F26" i="14"/>
  <c r="K26" i="14" s="1"/>
  <c r="G25" i="14"/>
  <c r="O25" i="14" s="1"/>
  <c r="F25" i="14"/>
  <c r="K25" i="14" s="1"/>
  <c r="G24" i="14"/>
  <c r="O24" i="14" s="1"/>
  <c r="F24" i="14"/>
  <c r="K24" i="14" s="1"/>
  <c r="G23" i="14"/>
  <c r="O23" i="14" s="1"/>
  <c r="F23" i="14"/>
  <c r="K23" i="14" s="1"/>
  <c r="G22" i="14"/>
  <c r="O22" i="14" s="1"/>
  <c r="F22" i="14"/>
  <c r="K22" i="14" s="1"/>
  <c r="G21" i="14"/>
  <c r="O21" i="14" s="1"/>
  <c r="F21" i="14"/>
  <c r="K21" i="14" s="1"/>
  <c r="G20" i="14"/>
  <c r="O20" i="14" s="1"/>
  <c r="E20" i="14"/>
  <c r="F20" i="14" s="1"/>
  <c r="K20" i="14" s="1"/>
  <c r="G19" i="14"/>
  <c r="O19" i="14" s="1"/>
  <c r="F19" i="14"/>
  <c r="K19" i="14" s="1"/>
  <c r="G18" i="14"/>
  <c r="O18" i="14" s="1"/>
  <c r="F18" i="14"/>
  <c r="K18" i="14" s="1"/>
  <c r="G17" i="14"/>
  <c r="O17" i="14" s="1"/>
  <c r="F17" i="14"/>
  <c r="K17" i="14" s="1"/>
  <c r="G16" i="14"/>
  <c r="O16" i="14" s="1"/>
  <c r="F16" i="14"/>
  <c r="K16" i="14" s="1"/>
  <c r="G15" i="14"/>
  <c r="O15" i="14" s="1"/>
  <c r="F15" i="14"/>
  <c r="K15" i="14" s="1"/>
  <c r="G14" i="14"/>
  <c r="O14" i="14" s="1"/>
  <c r="E14" i="14"/>
  <c r="F14" i="14" s="1"/>
  <c r="K14" i="14" s="1"/>
  <c r="G13" i="14"/>
  <c r="O13" i="14" s="1"/>
  <c r="F13" i="14"/>
  <c r="K13" i="14" s="1"/>
  <c r="G12" i="14"/>
  <c r="O12" i="14" s="1"/>
  <c r="F12" i="14"/>
  <c r="K12" i="14" s="1"/>
  <c r="I11" i="14"/>
  <c r="G11" i="14"/>
  <c r="O11" i="14" s="1"/>
  <c r="F11" i="14"/>
  <c r="K11" i="14" s="1"/>
  <c r="I10" i="14"/>
  <c r="G10" i="14"/>
  <c r="O10" i="14" s="1"/>
  <c r="F10" i="14"/>
  <c r="K10" i="14" s="1"/>
  <c r="I9" i="14"/>
  <c r="G9" i="14"/>
  <c r="O9" i="14" s="1"/>
  <c r="F9" i="14"/>
  <c r="K9" i="14" s="1"/>
  <c r="G8" i="14"/>
  <c r="O8" i="14" s="1"/>
  <c r="F8" i="14"/>
  <c r="K8" i="14" s="1"/>
  <c r="G7" i="14"/>
  <c r="O7" i="14" s="1"/>
  <c r="E7" i="14"/>
  <c r="F7" i="14" s="1"/>
  <c r="K7" i="14" s="1"/>
  <c r="I6" i="14"/>
  <c r="G6" i="14"/>
  <c r="O6" i="14" s="1"/>
  <c r="F6" i="14"/>
  <c r="K6" i="14" s="1"/>
  <c r="G5" i="14"/>
  <c r="O5" i="14" s="1"/>
  <c r="F5" i="14"/>
  <c r="K5" i="14" s="1"/>
  <c r="G4" i="14"/>
  <c r="O4" i="14" s="1"/>
  <c r="F4" i="14"/>
  <c r="K4" i="14" s="1"/>
  <c r="K3" i="14"/>
  <c r="G3" i="14"/>
  <c r="Q2" i="14"/>
  <c r="G2" i="14"/>
  <c r="F2" i="14"/>
  <c r="K2" i="14" s="1"/>
  <c r="G31" i="13"/>
  <c r="O31" i="13" s="1"/>
  <c r="F31" i="13"/>
  <c r="K31" i="13" s="1"/>
  <c r="G30" i="13"/>
  <c r="O30" i="13" s="1"/>
  <c r="F30" i="13"/>
  <c r="K30" i="13" s="1"/>
  <c r="G29" i="13"/>
  <c r="O29" i="13" s="1"/>
  <c r="F29" i="13"/>
  <c r="K29" i="13" s="1"/>
  <c r="G28" i="13"/>
  <c r="O28" i="13" s="1"/>
  <c r="F28" i="13"/>
  <c r="K28" i="13" s="1"/>
  <c r="G27" i="13"/>
  <c r="O27" i="13" s="1"/>
  <c r="F27" i="13"/>
  <c r="K27" i="13" s="1"/>
  <c r="G26" i="13"/>
  <c r="O26" i="13" s="1"/>
  <c r="F26" i="13"/>
  <c r="K26" i="13" s="1"/>
  <c r="G25" i="13"/>
  <c r="O25" i="13" s="1"/>
  <c r="F25" i="13"/>
  <c r="K25" i="13" s="1"/>
  <c r="G24" i="13"/>
  <c r="O24" i="13" s="1"/>
  <c r="E24" i="13"/>
  <c r="F24" i="13" s="1"/>
  <c r="K24" i="13" s="1"/>
  <c r="G23" i="13"/>
  <c r="O23" i="13" s="1"/>
  <c r="F23" i="13"/>
  <c r="K23" i="13" s="1"/>
  <c r="H22" i="13"/>
  <c r="G22" i="13"/>
  <c r="O22" i="13" s="1"/>
  <c r="F22" i="13"/>
  <c r="K22" i="13" s="1"/>
  <c r="H21" i="13"/>
  <c r="G21" i="13"/>
  <c r="O21" i="13" s="1"/>
  <c r="F21" i="13"/>
  <c r="K21" i="13" s="1"/>
  <c r="G20" i="13"/>
  <c r="O20" i="13" s="1"/>
  <c r="F20" i="13"/>
  <c r="K20" i="13" s="1"/>
  <c r="H19" i="13"/>
  <c r="G19" i="13"/>
  <c r="O19" i="13" s="1"/>
  <c r="F19" i="13"/>
  <c r="K19" i="13" s="1"/>
  <c r="H18" i="13"/>
  <c r="G18" i="13"/>
  <c r="O18" i="13" s="1"/>
  <c r="E18" i="13"/>
  <c r="F18" i="13" s="1"/>
  <c r="K18" i="13" s="1"/>
  <c r="G17" i="13"/>
  <c r="O17" i="13" s="1"/>
  <c r="F17" i="13"/>
  <c r="K17" i="13" s="1"/>
  <c r="H16" i="13"/>
  <c r="G16" i="13"/>
  <c r="O16" i="13" s="1"/>
  <c r="F16" i="13"/>
  <c r="K16" i="13" s="1"/>
  <c r="G15" i="13"/>
  <c r="O15" i="13" s="1"/>
  <c r="F15" i="13"/>
  <c r="K15" i="13" s="1"/>
  <c r="G14" i="13"/>
  <c r="O14" i="13" s="1"/>
  <c r="F14" i="13"/>
  <c r="K14" i="13" s="1"/>
  <c r="G13" i="13"/>
  <c r="O13" i="13" s="1"/>
  <c r="F13" i="13"/>
  <c r="K13" i="13" s="1"/>
  <c r="H12" i="13"/>
  <c r="G12" i="13"/>
  <c r="O12" i="13" s="1"/>
  <c r="F12" i="13"/>
  <c r="K12" i="13" s="1"/>
  <c r="G11" i="13"/>
  <c r="O11" i="13" s="1"/>
  <c r="E11" i="13"/>
  <c r="F11" i="13" s="1"/>
  <c r="K11" i="13" s="1"/>
  <c r="H10" i="13"/>
  <c r="G10" i="13"/>
  <c r="O10" i="13" s="1"/>
  <c r="F10" i="13"/>
  <c r="K10" i="13" s="1"/>
  <c r="G9" i="13"/>
  <c r="O9" i="13" s="1"/>
  <c r="F9" i="13"/>
  <c r="K9" i="13" s="1"/>
  <c r="G8" i="13"/>
  <c r="O8" i="13" s="1"/>
  <c r="F8" i="13"/>
  <c r="K8" i="13" s="1"/>
  <c r="M7" i="13"/>
  <c r="K7" i="13"/>
  <c r="L7" i="13" s="1"/>
  <c r="P7" i="13" s="1"/>
  <c r="G7" i="13"/>
  <c r="K6" i="13"/>
  <c r="G6" i="13"/>
  <c r="O6" i="13" s="1"/>
  <c r="G5" i="13"/>
  <c r="O5" i="13" s="1"/>
  <c r="F5" i="13"/>
  <c r="K5" i="13" s="1"/>
  <c r="K4" i="13"/>
  <c r="G4" i="13"/>
  <c r="O4" i="13" s="1"/>
  <c r="G3" i="13"/>
  <c r="O3" i="13" s="1"/>
  <c r="F3" i="13"/>
  <c r="K3" i="13" s="1"/>
  <c r="O2" i="13"/>
  <c r="K2" i="13"/>
  <c r="M42" i="12"/>
  <c r="J42" i="12"/>
  <c r="S42" i="12" s="1"/>
  <c r="H42" i="12"/>
  <c r="O42" i="12" s="1"/>
  <c r="J41" i="12"/>
  <c r="S41" i="12" s="1"/>
  <c r="H41" i="12"/>
  <c r="O41" i="12" s="1"/>
  <c r="J40" i="12"/>
  <c r="S40" i="12" s="1"/>
  <c r="H40" i="12"/>
  <c r="O40" i="12" s="1"/>
  <c r="J39" i="12"/>
  <c r="S39" i="12" s="1"/>
  <c r="H39" i="12"/>
  <c r="O39" i="12" s="1"/>
  <c r="J38" i="12"/>
  <c r="S38" i="12" s="1"/>
  <c r="H38" i="12"/>
  <c r="O38" i="12" s="1"/>
  <c r="J37" i="12"/>
  <c r="S37" i="12" s="1"/>
  <c r="H37" i="12"/>
  <c r="O37" i="12" s="1"/>
  <c r="J36" i="12"/>
  <c r="S36" i="12" s="1"/>
  <c r="H36" i="12"/>
  <c r="O36" i="12" s="1"/>
  <c r="J35" i="12"/>
  <c r="G35" i="12"/>
  <c r="H35" i="12" s="1"/>
  <c r="O35" i="12" s="1"/>
  <c r="J34" i="12"/>
  <c r="S34" i="12" s="1"/>
  <c r="H34" i="12"/>
  <c r="O34" i="12" s="1"/>
  <c r="J33" i="12"/>
  <c r="S33" i="12" s="1"/>
  <c r="H33" i="12"/>
  <c r="O33" i="12" s="1"/>
  <c r="J32" i="12"/>
  <c r="S32" i="12" s="1"/>
  <c r="H32" i="12"/>
  <c r="O32" i="12" s="1"/>
  <c r="J31" i="12"/>
  <c r="S31" i="12" s="1"/>
  <c r="H31" i="12"/>
  <c r="O31" i="12" s="1"/>
  <c r="J30" i="12"/>
  <c r="S30" i="12" s="1"/>
  <c r="H30" i="12"/>
  <c r="O30" i="12" s="1"/>
  <c r="J29" i="12"/>
  <c r="G29" i="12"/>
  <c r="H29" i="12" s="1"/>
  <c r="O29" i="12" s="1"/>
  <c r="L28" i="12"/>
  <c r="J28" i="12" s="1"/>
  <c r="S28" i="12" s="1"/>
  <c r="H28" i="12"/>
  <c r="O28" i="12" s="1"/>
  <c r="L27" i="12"/>
  <c r="J27" i="12" s="1"/>
  <c r="S27" i="12" s="1"/>
  <c r="H27" i="12"/>
  <c r="O27" i="12" s="1"/>
  <c r="L26" i="12"/>
  <c r="J26" i="12"/>
  <c r="S26" i="12" s="1"/>
  <c r="H26" i="12"/>
  <c r="O26" i="12" s="1"/>
  <c r="L25" i="12"/>
  <c r="J25" i="12" s="1"/>
  <c r="S25" i="12" s="1"/>
  <c r="H25" i="12"/>
  <c r="O25" i="12" s="1"/>
  <c r="L24" i="12"/>
  <c r="J24" i="12"/>
  <c r="S24" i="12" s="1"/>
  <c r="H24" i="12"/>
  <c r="O24" i="12" s="1"/>
  <c r="L23" i="12"/>
  <c r="J23" i="12"/>
  <c r="S23" i="12" s="1"/>
  <c r="H23" i="12"/>
  <c r="O23" i="12" s="1"/>
  <c r="L22" i="12"/>
  <c r="J22" i="12"/>
  <c r="G22" i="12"/>
  <c r="H22" i="12" s="1"/>
  <c r="O22" i="12" s="1"/>
  <c r="L21" i="12"/>
  <c r="J21" i="12"/>
  <c r="S21" i="12" s="1"/>
  <c r="H21" i="12"/>
  <c r="O21" i="12" s="1"/>
  <c r="L20" i="12"/>
  <c r="J20" i="12"/>
  <c r="S20" i="12" s="1"/>
  <c r="H20" i="12"/>
  <c r="O20" i="12" s="1"/>
  <c r="J19" i="12"/>
  <c r="S19" i="12" s="1"/>
  <c r="H19" i="12"/>
  <c r="O19" i="12" s="1"/>
  <c r="U18" i="12"/>
  <c r="S18" i="12"/>
  <c r="O18" i="12"/>
  <c r="R18" i="12" s="1"/>
  <c r="Q18" i="12" s="1"/>
  <c r="J18" i="12"/>
  <c r="T18" i="12" s="1"/>
  <c r="O17" i="12"/>
  <c r="J17" i="12"/>
  <c r="O16" i="12"/>
  <c r="J16" i="12"/>
  <c r="O15" i="12"/>
  <c r="J15" i="12"/>
  <c r="O14" i="12"/>
  <c r="J14" i="12"/>
  <c r="O13" i="12"/>
  <c r="J13" i="12"/>
  <c r="O12" i="12"/>
  <c r="J12" i="12"/>
  <c r="O11" i="12"/>
  <c r="M11" i="12"/>
  <c r="J11" i="12"/>
  <c r="O10" i="12"/>
  <c r="J10" i="12"/>
  <c r="O9" i="12"/>
  <c r="J9" i="12"/>
  <c r="O8" i="12"/>
  <c r="J8" i="12"/>
  <c r="O7" i="12"/>
  <c r="J7" i="12"/>
  <c r="O6" i="12"/>
  <c r="J6" i="12"/>
  <c r="O5" i="12"/>
  <c r="J5" i="12"/>
  <c r="O4" i="12"/>
  <c r="J4" i="12"/>
  <c r="O3" i="12"/>
  <c r="J3" i="12"/>
  <c r="O2" i="12"/>
  <c r="J2" i="12"/>
  <c r="O32" i="11"/>
  <c r="G32" i="11"/>
  <c r="F32" i="11"/>
  <c r="K32" i="11" s="1"/>
  <c r="G31" i="11"/>
  <c r="O31" i="11" s="1"/>
  <c r="F31" i="11"/>
  <c r="K31" i="11" s="1"/>
  <c r="G30" i="11"/>
  <c r="O30" i="11" s="1"/>
  <c r="F30" i="11"/>
  <c r="K30" i="11" s="1"/>
  <c r="G29" i="11"/>
  <c r="O29" i="11" s="1"/>
  <c r="E29" i="11"/>
  <c r="F29" i="11" s="1"/>
  <c r="K29" i="11" s="1"/>
  <c r="H28" i="11"/>
  <c r="G28" i="11"/>
  <c r="O28" i="11" s="1"/>
  <c r="F28" i="11"/>
  <c r="K28" i="11" s="1"/>
  <c r="I27" i="11"/>
  <c r="H27" i="11"/>
  <c r="G27" i="11"/>
  <c r="O27" i="11" s="1"/>
  <c r="F27" i="11"/>
  <c r="K27" i="11" s="1"/>
  <c r="G26" i="11"/>
  <c r="O26" i="11" s="1"/>
  <c r="F26" i="11"/>
  <c r="K26" i="11" s="1"/>
  <c r="H25" i="11"/>
  <c r="G25" i="11"/>
  <c r="O25" i="11" s="1"/>
  <c r="F25" i="11"/>
  <c r="K25" i="11" s="1"/>
  <c r="G24" i="11"/>
  <c r="O24" i="11" s="1"/>
  <c r="F24" i="11"/>
  <c r="K24" i="11" s="1"/>
  <c r="H23" i="11"/>
  <c r="G23" i="11"/>
  <c r="O23" i="11" s="1"/>
  <c r="F23" i="11"/>
  <c r="K23" i="11" s="1"/>
  <c r="H22" i="11"/>
  <c r="G22" i="11"/>
  <c r="O22" i="11" s="1"/>
  <c r="E22" i="11"/>
  <c r="F22" i="11" s="1"/>
  <c r="K22" i="11" s="1"/>
  <c r="G21" i="11"/>
  <c r="O21" i="11" s="1"/>
  <c r="F21" i="11"/>
  <c r="K21" i="11" s="1"/>
  <c r="H20" i="11"/>
  <c r="G20" i="11"/>
  <c r="O20" i="11" s="1"/>
  <c r="F20" i="11"/>
  <c r="K20" i="11" s="1"/>
  <c r="H19" i="11"/>
  <c r="G19" i="11"/>
  <c r="O19" i="11" s="1"/>
  <c r="F19" i="11"/>
  <c r="K19" i="11" s="1"/>
  <c r="O18" i="11"/>
  <c r="G18" i="11"/>
  <c r="F18" i="11"/>
  <c r="K18" i="11" s="1"/>
  <c r="K17" i="11"/>
  <c r="K16" i="11"/>
  <c r="G16" i="11"/>
  <c r="K15" i="11"/>
  <c r="G15" i="11"/>
  <c r="K14" i="11"/>
  <c r="G14" i="11"/>
  <c r="K13" i="11"/>
  <c r="K12" i="11"/>
  <c r="K11" i="11"/>
  <c r="G11" i="11"/>
  <c r="K10" i="11"/>
  <c r="G10" i="11"/>
  <c r="K9" i="11"/>
  <c r="G9" i="11"/>
  <c r="K8" i="11"/>
  <c r="G8" i="11"/>
  <c r="K7" i="11"/>
  <c r="G7" i="11"/>
  <c r="K6" i="11"/>
  <c r="G6" i="11"/>
  <c r="K5" i="11"/>
  <c r="G5" i="11"/>
  <c r="K4" i="11"/>
  <c r="G4" i="11"/>
  <c r="K3" i="11"/>
  <c r="G3" i="11"/>
  <c r="K2" i="11"/>
  <c r="G2" i="11"/>
  <c r="F44" i="10"/>
  <c r="F43" i="10"/>
  <c r="F42" i="10"/>
  <c r="F41" i="10"/>
  <c r="F40" i="10"/>
  <c r="F39" i="10"/>
  <c r="F38" i="10"/>
  <c r="E37" i="10"/>
  <c r="F36" i="10"/>
  <c r="F35" i="10"/>
  <c r="F34" i="10"/>
  <c r="F33" i="10"/>
  <c r="F32" i="10"/>
  <c r="E31" i="10"/>
  <c r="F30" i="10"/>
  <c r="F29" i="10"/>
  <c r="F28" i="10"/>
  <c r="F27" i="10"/>
  <c r="H26" i="10"/>
  <c r="F26" i="10"/>
  <c r="H25" i="10"/>
  <c r="F25" i="10"/>
  <c r="E24" i="10"/>
  <c r="B24" i="10"/>
  <c r="F23" i="10"/>
  <c r="K23" i="10" s="1"/>
  <c r="N23" i="10" s="1"/>
  <c r="O23" i="10" s="1"/>
  <c r="B13" i="10"/>
  <c r="K13" i="10" s="1"/>
  <c r="N13" i="10" s="1"/>
  <c r="O13" i="10" s="1"/>
  <c r="B11" i="10"/>
  <c r="K11" i="10" s="1"/>
  <c r="N11" i="10" s="1"/>
  <c r="O11" i="10" s="1"/>
  <c r="B10" i="10"/>
  <c r="K10" i="10" s="1"/>
  <c r="N10" i="10" s="1"/>
  <c r="O10" i="10" s="1"/>
  <c r="B9" i="10"/>
  <c r="K9" i="10" s="1"/>
  <c r="N9" i="10" s="1"/>
  <c r="O9" i="10" s="1"/>
  <c r="B8" i="10"/>
  <c r="K8" i="10" s="1"/>
  <c r="N8" i="10" s="1"/>
  <c r="O8" i="10" s="1"/>
  <c r="B7" i="10"/>
  <c r="K7" i="10" s="1"/>
  <c r="N7" i="10" s="1"/>
  <c r="O7" i="10" s="1"/>
  <c r="B6" i="10"/>
  <c r="K6" i="10" s="1"/>
  <c r="N6" i="10" s="1"/>
  <c r="O6" i="10" s="1"/>
  <c r="B5" i="10"/>
  <c r="K5" i="10" s="1"/>
  <c r="N5" i="10" s="1"/>
  <c r="O5" i="10" s="1"/>
  <c r="F44" i="9"/>
  <c r="F43" i="9"/>
  <c r="F42" i="9"/>
  <c r="F41" i="9"/>
  <c r="F40" i="9"/>
  <c r="F39" i="9"/>
  <c r="F38" i="9"/>
  <c r="D37" i="9"/>
  <c r="F37" i="9" s="1"/>
  <c r="F36" i="9"/>
  <c r="F35" i="9"/>
  <c r="F34" i="9"/>
  <c r="F33" i="9"/>
  <c r="F32" i="9"/>
  <c r="D31" i="9"/>
  <c r="F31" i="9" s="1"/>
  <c r="F30" i="9"/>
  <c r="F29" i="9"/>
  <c r="F28" i="9"/>
  <c r="F27" i="9"/>
  <c r="L26" i="9"/>
  <c r="F26" i="9"/>
  <c r="L25" i="9"/>
  <c r="F25" i="9"/>
  <c r="J24" i="9"/>
  <c r="F24" i="9"/>
  <c r="O24" i="9" s="1"/>
  <c r="D24" i="9"/>
  <c r="R24" i="9" s="1"/>
  <c r="F23" i="9"/>
  <c r="F22" i="9"/>
  <c r="O22" i="9" s="1"/>
  <c r="F21" i="9"/>
  <c r="O21" i="9" s="1"/>
  <c r="F20" i="9"/>
  <c r="O20" i="9" s="1"/>
  <c r="F19" i="9"/>
  <c r="O19" i="9" s="1"/>
  <c r="F18" i="9"/>
  <c r="O18" i="9" s="1"/>
  <c r="F17" i="9"/>
  <c r="O17" i="9" s="1"/>
  <c r="F16" i="9"/>
  <c r="O16" i="9" s="1"/>
  <c r="O15" i="9"/>
  <c r="Q14" i="9"/>
  <c r="O14" i="9"/>
  <c r="P14" i="9" s="1"/>
  <c r="J13" i="9"/>
  <c r="O13" i="9" s="1"/>
  <c r="J12" i="9"/>
  <c r="O12" i="9" s="1"/>
  <c r="J11" i="9"/>
  <c r="J23" i="9" s="1"/>
  <c r="F11" i="9"/>
  <c r="O11" i="9" s="1"/>
  <c r="J10" i="9"/>
  <c r="O10" i="9" s="1"/>
  <c r="J9" i="9"/>
  <c r="O9" i="9" s="1"/>
  <c r="J8" i="9"/>
  <c r="O8" i="9" s="1"/>
  <c r="J7" i="9"/>
  <c r="O7" i="9" s="1"/>
  <c r="J6" i="9"/>
  <c r="O6" i="9" s="1"/>
  <c r="J5" i="9"/>
  <c r="O5" i="9" s="1"/>
  <c r="J4" i="9"/>
  <c r="O4" i="9" s="1"/>
  <c r="I13" i="8"/>
  <c r="J13" i="8" s="1"/>
  <c r="E13" i="8"/>
  <c r="D13" i="8"/>
  <c r="I12" i="8"/>
  <c r="J12" i="8" s="1"/>
  <c r="E12" i="8"/>
  <c r="D12" i="8"/>
  <c r="I11" i="8"/>
  <c r="J11" i="8" s="1"/>
  <c r="E11" i="8"/>
  <c r="D11" i="8"/>
  <c r="I10" i="8"/>
  <c r="J10" i="8" s="1"/>
  <c r="E10" i="8"/>
  <c r="D10" i="8"/>
  <c r="I9" i="8"/>
  <c r="J9" i="8" s="1"/>
  <c r="E9" i="8"/>
  <c r="D9" i="8"/>
  <c r="I8" i="8"/>
  <c r="J8" i="8" s="1"/>
  <c r="E8" i="8"/>
  <c r="D8" i="8"/>
  <c r="I7" i="8"/>
  <c r="J7" i="8" s="1"/>
  <c r="E7" i="8"/>
  <c r="D7" i="8"/>
  <c r="I6" i="8"/>
  <c r="J6" i="8" s="1"/>
  <c r="E6" i="8"/>
  <c r="D6" i="8"/>
  <c r="I5" i="8"/>
  <c r="J5" i="8" s="1"/>
  <c r="E5" i="8"/>
  <c r="D5" i="8"/>
  <c r="I4" i="8"/>
  <c r="J4" i="8" s="1"/>
  <c r="E4" i="8"/>
  <c r="D4" i="8"/>
  <c r="E3" i="8"/>
  <c r="D3" i="8"/>
  <c r="J5" i="7"/>
  <c r="D4" i="7"/>
  <c r="J4" i="7" s="1"/>
  <c r="D3" i="7"/>
  <c r="H25" i="6"/>
  <c r="I25" i="6" s="1"/>
  <c r="F25" i="6"/>
  <c r="H24" i="6"/>
  <c r="I24" i="6" s="1"/>
  <c r="F24" i="6"/>
  <c r="H23" i="6"/>
  <c r="I23" i="6" s="1"/>
  <c r="F23" i="6"/>
  <c r="H22" i="6"/>
  <c r="I22" i="6" s="1"/>
  <c r="F22" i="6"/>
  <c r="H21" i="6"/>
  <c r="I21" i="6" s="1"/>
  <c r="F21" i="6"/>
  <c r="H20" i="6"/>
  <c r="I20" i="6" s="1"/>
  <c r="F20" i="6"/>
  <c r="H19" i="6"/>
  <c r="I19" i="6" s="1"/>
  <c r="F19" i="6"/>
  <c r="H18" i="6"/>
  <c r="I18" i="6" s="1"/>
  <c r="F18" i="6"/>
  <c r="H17" i="6"/>
  <c r="I17" i="6" s="1"/>
  <c r="F17" i="6"/>
  <c r="H16" i="6"/>
  <c r="I16" i="6" s="1"/>
  <c r="F16" i="6"/>
  <c r="H15" i="6"/>
  <c r="I15" i="6" s="1"/>
  <c r="F15" i="6"/>
  <c r="H14" i="6"/>
  <c r="I14" i="6" s="1"/>
  <c r="F14" i="6"/>
  <c r="H13" i="6"/>
  <c r="I13" i="6" s="1"/>
  <c r="F13" i="6"/>
  <c r="AF12" i="6"/>
  <c r="AE12" i="6"/>
  <c r="AD12" i="6"/>
  <c r="AC12" i="6"/>
  <c r="AB12" i="6"/>
  <c r="H12" i="6"/>
  <c r="I12" i="6" s="1"/>
  <c r="F12" i="6"/>
  <c r="H11" i="6"/>
  <c r="I11" i="6" s="1"/>
  <c r="F11" i="6"/>
  <c r="AF10" i="6"/>
  <c r="AF13" i="6" s="1"/>
  <c r="AE10" i="6"/>
  <c r="AD10" i="6"/>
  <c r="AC10" i="6"/>
  <c r="AB10" i="6"/>
  <c r="H10" i="6"/>
  <c r="I10" i="6" s="1"/>
  <c r="F10" i="6"/>
  <c r="H9" i="6"/>
  <c r="I9" i="6" s="1"/>
  <c r="F9" i="6"/>
  <c r="H8" i="6"/>
  <c r="I8" i="6" s="1"/>
  <c r="F8" i="6"/>
  <c r="AF7" i="6"/>
  <c r="AE7" i="6"/>
  <c r="AD7" i="6"/>
  <c r="AC7" i="6"/>
  <c r="AB7" i="6"/>
  <c r="AA7" i="6"/>
  <c r="H7" i="6"/>
  <c r="I7" i="6" s="1"/>
  <c r="F7" i="6"/>
  <c r="H6" i="6"/>
  <c r="I6" i="6" s="1"/>
  <c r="F6" i="6"/>
  <c r="H5" i="6"/>
  <c r="I5" i="6" s="1"/>
  <c r="F5" i="6"/>
  <c r="AF4" i="6"/>
  <c r="AF5" i="6" s="1"/>
  <c r="AF8" i="6" s="1"/>
  <c r="AE4" i="6"/>
  <c r="AE5" i="6" s="1"/>
  <c r="AD4" i="6"/>
  <c r="AD5" i="6" s="1"/>
  <c r="AC4" i="6"/>
  <c r="AC5" i="6" s="1"/>
  <c r="AB4" i="6"/>
  <c r="AA4" i="6"/>
  <c r="H4" i="6"/>
  <c r="I4" i="6" s="1"/>
  <c r="F4" i="6"/>
  <c r="AF3" i="6"/>
  <c r="AE3" i="6"/>
  <c r="AD3" i="6"/>
  <c r="AC3" i="6"/>
  <c r="AB3" i="6"/>
  <c r="AB5" i="6" s="1"/>
  <c r="AA3" i="6"/>
  <c r="AA5" i="6" s="1"/>
  <c r="H3" i="6"/>
  <c r="I3" i="6" s="1"/>
  <c r="F3" i="6"/>
  <c r="H2" i="6"/>
  <c r="I2" i="6" s="1"/>
  <c r="I45" i="5"/>
  <c r="H45" i="5"/>
  <c r="E45" i="5"/>
  <c r="I44" i="5"/>
  <c r="H44" i="5"/>
  <c r="E44" i="5"/>
  <c r="I43" i="5"/>
  <c r="H43" i="5"/>
  <c r="E43" i="5"/>
  <c r="I42" i="5"/>
  <c r="H42" i="5"/>
  <c r="E42" i="5"/>
  <c r="I41" i="5"/>
  <c r="H41" i="5"/>
  <c r="E41" i="5"/>
  <c r="I40" i="5"/>
  <c r="H40" i="5"/>
  <c r="E40" i="5"/>
  <c r="I39" i="5"/>
  <c r="H39" i="5"/>
  <c r="E39" i="5"/>
  <c r="I38" i="5"/>
  <c r="H38" i="5"/>
  <c r="E38" i="5"/>
  <c r="I37" i="5"/>
  <c r="H37" i="5"/>
  <c r="E37" i="5"/>
  <c r="I36" i="5"/>
  <c r="H36" i="5"/>
  <c r="E36" i="5"/>
  <c r="I35" i="5"/>
  <c r="H35" i="5"/>
  <c r="E35" i="5"/>
  <c r="I34" i="5"/>
  <c r="H34" i="5"/>
  <c r="E34" i="5"/>
  <c r="I33" i="5"/>
  <c r="H33" i="5"/>
  <c r="E33" i="5"/>
  <c r="I32" i="5"/>
  <c r="H32" i="5"/>
  <c r="E32" i="5"/>
  <c r="I31" i="5"/>
  <c r="H31" i="5"/>
  <c r="E31" i="5"/>
  <c r="I30" i="5"/>
  <c r="H30" i="5"/>
  <c r="E30" i="5"/>
  <c r="I29" i="5"/>
  <c r="H29" i="5"/>
  <c r="E29" i="5"/>
  <c r="I28" i="5"/>
  <c r="H28" i="5"/>
  <c r="E28" i="5"/>
  <c r="I27" i="5"/>
  <c r="H27" i="5"/>
  <c r="E27" i="5"/>
  <c r="I26" i="5"/>
  <c r="H26" i="5"/>
  <c r="E26" i="5"/>
  <c r="I25" i="5"/>
  <c r="H25" i="5"/>
  <c r="E25" i="5"/>
  <c r="I24" i="5"/>
  <c r="H24" i="5"/>
  <c r="E24" i="5"/>
  <c r="I23" i="5"/>
  <c r="H23" i="5"/>
  <c r="E23" i="5"/>
  <c r="I22" i="5"/>
  <c r="H22" i="5"/>
  <c r="E22" i="5"/>
  <c r="G21" i="5"/>
  <c r="I21" i="5" s="1"/>
  <c r="F21" i="5"/>
  <c r="H21" i="5" s="1"/>
  <c r="E21" i="5"/>
  <c r="G20" i="5"/>
  <c r="I20" i="5" s="1"/>
  <c r="F20" i="5"/>
  <c r="H20" i="5" s="1"/>
  <c r="E20" i="5"/>
  <c r="O19" i="5"/>
  <c r="N19" i="5"/>
  <c r="G19" i="5"/>
  <c r="I19" i="5" s="1"/>
  <c r="F19" i="5"/>
  <c r="H19" i="5" s="1"/>
  <c r="E19" i="5"/>
  <c r="G18" i="5"/>
  <c r="I18" i="5" s="1"/>
  <c r="F18" i="5"/>
  <c r="H18" i="5" s="1"/>
  <c r="E18" i="5"/>
  <c r="G17" i="5"/>
  <c r="I17" i="5" s="1"/>
  <c r="F17" i="5"/>
  <c r="H17" i="5" s="1"/>
  <c r="E17" i="5"/>
  <c r="G16" i="5"/>
  <c r="I16" i="5" s="1"/>
  <c r="F16" i="5"/>
  <c r="H16" i="5" s="1"/>
  <c r="E16" i="5"/>
  <c r="G15" i="5"/>
  <c r="I15" i="5" s="1"/>
  <c r="F15" i="5"/>
  <c r="H15" i="5" s="1"/>
  <c r="E15" i="5"/>
  <c r="G14" i="5"/>
  <c r="I14" i="5" s="1"/>
  <c r="F14" i="5"/>
  <c r="H14" i="5" s="1"/>
  <c r="E14" i="5"/>
  <c r="G13" i="5"/>
  <c r="I13" i="5" s="1"/>
  <c r="F13" i="5"/>
  <c r="H13" i="5" s="1"/>
  <c r="E13" i="5"/>
  <c r="G12" i="5"/>
  <c r="I12" i="5" s="1"/>
  <c r="F12" i="5"/>
  <c r="H12" i="5" s="1"/>
  <c r="E12" i="5"/>
  <c r="G11" i="5"/>
  <c r="I11" i="5" s="1"/>
  <c r="F11" i="5"/>
  <c r="H11" i="5" s="1"/>
  <c r="E11" i="5"/>
  <c r="G10" i="5"/>
  <c r="I10" i="5" s="1"/>
  <c r="F10" i="5"/>
  <c r="H10" i="5" s="1"/>
  <c r="E10" i="5"/>
  <c r="G9" i="5"/>
  <c r="I9" i="5" s="1"/>
  <c r="F9" i="5"/>
  <c r="H9" i="5" s="1"/>
  <c r="E9" i="5"/>
  <c r="G8" i="5"/>
  <c r="I8" i="5" s="1"/>
  <c r="F8" i="5"/>
  <c r="H8" i="5" s="1"/>
  <c r="E8" i="5"/>
  <c r="G7" i="5"/>
  <c r="I7" i="5" s="1"/>
  <c r="F7" i="5"/>
  <c r="H7" i="5" s="1"/>
  <c r="E7" i="5"/>
  <c r="G6" i="5"/>
  <c r="I6" i="5" s="1"/>
  <c r="F6" i="5"/>
  <c r="H6" i="5" s="1"/>
  <c r="E6" i="5"/>
  <c r="G5" i="5"/>
  <c r="I5" i="5" s="1"/>
  <c r="F5" i="5"/>
  <c r="H5" i="5" s="1"/>
  <c r="E5" i="5"/>
  <c r="H4" i="5"/>
  <c r="G4" i="5"/>
  <c r="I4" i="5" s="1"/>
  <c r="E4" i="5"/>
  <c r="H3" i="5"/>
  <c r="G3" i="5"/>
  <c r="I3" i="5" s="1"/>
  <c r="E3" i="5"/>
  <c r="B19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199" i="4" s="1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D13" i="3" s="1"/>
  <c r="C13" i="3"/>
  <c r="L4" i="1" s="1"/>
  <c r="U4" i="1" s="1"/>
  <c r="AR236" i="2"/>
  <c r="AR235" i="2"/>
  <c r="AR234" i="2"/>
  <c r="AR233" i="2"/>
  <c r="AR232" i="2"/>
  <c r="AR231" i="2"/>
  <c r="AR230" i="2"/>
  <c r="AR229" i="2"/>
  <c r="AR228" i="2"/>
  <c r="AR227" i="2"/>
  <c r="AR226" i="2"/>
  <c r="AR225" i="2"/>
  <c r="AR224" i="2"/>
  <c r="AR223" i="2"/>
  <c r="AR222" i="2"/>
  <c r="AR221" i="2"/>
  <c r="AR220" i="2"/>
  <c r="AR219" i="2"/>
  <c r="AR218" i="2"/>
  <c r="AR217" i="2"/>
  <c r="AR216" i="2"/>
  <c r="AR215" i="2"/>
  <c r="AR214" i="2"/>
  <c r="AR213" i="2"/>
  <c r="AR212" i="2"/>
  <c r="AR211" i="2"/>
  <c r="AR210" i="2"/>
  <c r="AR209" i="2"/>
  <c r="AR208" i="2"/>
  <c r="AR207" i="2"/>
  <c r="AR206" i="2"/>
  <c r="AR205" i="2"/>
  <c r="AR204" i="2"/>
  <c r="AR203" i="2"/>
  <c r="AR202" i="2"/>
  <c r="AR201" i="2"/>
  <c r="AR200" i="2"/>
  <c r="AR199" i="2"/>
  <c r="AR198" i="2"/>
  <c r="AR197" i="2"/>
  <c r="AR196" i="2"/>
  <c r="AR195" i="2"/>
  <c r="AR194" i="2"/>
  <c r="AR193" i="2"/>
  <c r="AR192" i="2"/>
  <c r="AR191" i="2"/>
  <c r="AR190" i="2"/>
  <c r="AR189" i="2"/>
  <c r="AR188" i="2"/>
  <c r="AR187" i="2"/>
  <c r="AR186" i="2"/>
  <c r="AR185" i="2"/>
  <c r="AR184" i="2"/>
  <c r="AR183" i="2"/>
  <c r="AR182" i="2"/>
  <c r="AR181" i="2"/>
  <c r="AR180" i="2"/>
  <c r="AR179" i="2"/>
  <c r="AR178" i="2"/>
  <c r="AR177" i="2"/>
  <c r="AC176" i="2"/>
  <c r="AB176" i="2"/>
  <c r="M176" i="2"/>
  <c r="V176" i="2" s="1"/>
  <c r="L176" i="2"/>
  <c r="K176" i="2"/>
  <c r="AD176" i="2" s="1"/>
  <c r="F176" i="2"/>
  <c r="R176" i="2" s="1"/>
  <c r="B176" i="2"/>
  <c r="D176" i="2" s="1" a="1"/>
  <c r="D176" i="2" s="1"/>
  <c r="A176" i="2"/>
  <c r="AC175" i="2"/>
  <c r="AB175" i="2"/>
  <c r="M175" i="2"/>
  <c r="V175" i="2" s="1"/>
  <c r="L175" i="2"/>
  <c r="K175" i="2" s="1"/>
  <c r="AD175" i="2" s="1"/>
  <c r="F175" i="2"/>
  <c r="R175" i="2" s="1"/>
  <c r="B175" i="2"/>
  <c r="D175" i="2" s="1" a="1"/>
  <c r="D175" i="2" s="1"/>
  <c r="A175" i="2"/>
  <c r="AC174" i="2"/>
  <c r="AB174" i="2"/>
  <c r="M174" i="2"/>
  <c r="V174" i="2" s="1"/>
  <c r="L174" i="2"/>
  <c r="K174" i="2" s="1"/>
  <c r="AD174" i="2" s="1"/>
  <c r="F174" i="2"/>
  <c r="R174" i="2" s="1"/>
  <c r="B174" i="2"/>
  <c r="D174" i="2" s="1" a="1"/>
  <c r="D174" i="2" s="1"/>
  <c r="A174" i="2"/>
  <c r="AC173" i="2"/>
  <c r="AB173" i="2"/>
  <c r="M173" i="2"/>
  <c r="V173" i="2" s="1"/>
  <c r="L173" i="2"/>
  <c r="K173" i="2" s="1"/>
  <c r="AD173" i="2" s="1"/>
  <c r="F173" i="2"/>
  <c r="R173" i="2" s="1"/>
  <c r="B173" i="2"/>
  <c r="D173" i="2" s="1" a="1"/>
  <c r="D173" i="2" s="1"/>
  <c r="A173" i="2"/>
  <c r="AC172" i="2"/>
  <c r="AB172" i="2"/>
  <c r="M172" i="2"/>
  <c r="V172" i="2" s="1"/>
  <c r="L172" i="2"/>
  <c r="K172" i="2" s="1"/>
  <c r="AD172" i="2" s="1"/>
  <c r="F172" i="2"/>
  <c r="R172" i="2" s="1"/>
  <c r="B172" i="2"/>
  <c r="D172" i="2" s="1" a="1"/>
  <c r="D172" i="2" s="1"/>
  <c r="A172" i="2"/>
  <c r="AC171" i="2"/>
  <c r="AB171" i="2"/>
  <c r="M171" i="2"/>
  <c r="V171" i="2" s="1"/>
  <c r="L171" i="2"/>
  <c r="K171" i="2" s="1"/>
  <c r="AD171" i="2" s="1"/>
  <c r="F171" i="2"/>
  <c r="R171" i="2" s="1"/>
  <c r="B171" i="2"/>
  <c r="D171" i="2" s="1" a="1"/>
  <c r="D171" i="2" s="1"/>
  <c r="A171" i="2"/>
  <c r="AC170" i="2"/>
  <c r="AB170" i="2"/>
  <c r="M170" i="2"/>
  <c r="V170" i="2" s="1"/>
  <c r="L170" i="2"/>
  <c r="K170" i="2" s="1"/>
  <c r="AD170" i="2" s="1"/>
  <c r="F170" i="2"/>
  <c r="R170" i="2" s="1"/>
  <c r="B170" i="2"/>
  <c r="D170" i="2" s="1" a="1"/>
  <c r="D170" i="2" s="1"/>
  <c r="A170" i="2"/>
  <c r="AC169" i="2"/>
  <c r="AB169" i="2"/>
  <c r="M169" i="2"/>
  <c r="V169" i="2" s="1"/>
  <c r="L169" i="2"/>
  <c r="K169" i="2" s="1"/>
  <c r="AD169" i="2" s="1"/>
  <c r="F169" i="2"/>
  <c r="R169" i="2" s="1"/>
  <c r="B169" i="2"/>
  <c r="D169" i="2" s="1" a="1"/>
  <c r="D169" i="2" s="1"/>
  <c r="A169" i="2"/>
  <c r="AC168" i="2"/>
  <c r="AB168" i="2"/>
  <c r="M168" i="2"/>
  <c r="V168" i="2" s="1"/>
  <c r="L168" i="2"/>
  <c r="K168" i="2" s="1"/>
  <c r="AD168" i="2" s="1"/>
  <c r="F168" i="2"/>
  <c r="R168" i="2" s="1"/>
  <c r="B168" i="2"/>
  <c r="D168" i="2" s="1" a="1"/>
  <c r="D168" i="2" s="1"/>
  <c r="A168" i="2"/>
  <c r="AC167" i="2"/>
  <c r="AB167" i="2"/>
  <c r="M167" i="2"/>
  <c r="V167" i="2" s="1"/>
  <c r="L167" i="2"/>
  <c r="K167" i="2" s="1"/>
  <c r="AD167" i="2" s="1"/>
  <c r="F167" i="2"/>
  <c r="R167" i="2" s="1"/>
  <c r="B167" i="2"/>
  <c r="D167" i="2" s="1" a="1"/>
  <c r="D167" i="2" s="1"/>
  <c r="A167" i="2"/>
  <c r="AC166" i="2"/>
  <c r="AB166" i="2"/>
  <c r="M166" i="2"/>
  <c r="V166" i="2" s="1"/>
  <c r="L166" i="2"/>
  <c r="K166" i="2" s="1"/>
  <c r="AD166" i="2" s="1"/>
  <c r="F166" i="2"/>
  <c r="R166" i="2" s="1"/>
  <c r="B166" i="2"/>
  <c r="D166" i="2" s="1" a="1"/>
  <c r="D166" i="2" s="1"/>
  <c r="A166" i="2"/>
  <c r="AC165" i="2"/>
  <c r="AB165" i="2"/>
  <c r="M165" i="2"/>
  <c r="V165" i="2" s="1"/>
  <c r="L165" i="2"/>
  <c r="K165" i="2"/>
  <c r="AD165" i="2" s="1"/>
  <c r="F165" i="2"/>
  <c r="R165" i="2" s="1"/>
  <c r="B165" i="2"/>
  <c r="D165" i="2" s="1" a="1"/>
  <c r="D165" i="2" s="1"/>
  <c r="A165" i="2"/>
  <c r="AC164" i="2"/>
  <c r="AB164" i="2"/>
  <c r="M164" i="2"/>
  <c r="V164" i="2" s="1"/>
  <c r="L164" i="2"/>
  <c r="K164" i="2"/>
  <c r="AD164" i="2" s="1"/>
  <c r="F164" i="2"/>
  <c r="R164" i="2" s="1"/>
  <c r="B164" i="2"/>
  <c r="D164" i="2" s="1" a="1"/>
  <c r="D164" i="2" s="1"/>
  <c r="A164" i="2"/>
  <c r="AC163" i="2"/>
  <c r="AB163" i="2"/>
  <c r="M163" i="2"/>
  <c r="V163" i="2" s="1"/>
  <c r="L163" i="2"/>
  <c r="K163" i="2"/>
  <c r="AD163" i="2" s="1"/>
  <c r="F163" i="2"/>
  <c r="R163" i="2" s="1"/>
  <c r="B163" i="2"/>
  <c r="D163" i="2" s="1" a="1"/>
  <c r="D163" i="2" s="1"/>
  <c r="A163" i="2"/>
  <c r="AC162" i="2"/>
  <c r="AB162" i="2"/>
  <c r="M162" i="2"/>
  <c r="V162" i="2" s="1"/>
  <c r="L162" i="2"/>
  <c r="K162" i="2"/>
  <c r="AD162" i="2" s="1"/>
  <c r="F162" i="2"/>
  <c r="R162" i="2" s="1"/>
  <c r="B162" i="2"/>
  <c r="D162" i="2" s="1" a="1"/>
  <c r="D162" i="2" s="1"/>
  <c r="A162" i="2"/>
  <c r="AC161" i="2"/>
  <c r="AB161" i="2"/>
  <c r="M161" i="2"/>
  <c r="V161" i="2" s="1"/>
  <c r="L161" i="2"/>
  <c r="K161" i="2"/>
  <c r="AD161" i="2" s="1"/>
  <c r="F161" i="2"/>
  <c r="R161" i="2" s="1"/>
  <c r="B161" i="2"/>
  <c r="D161" i="2" s="1" a="1"/>
  <c r="D161" i="2" s="1"/>
  <c r="A161" i="2"/>
  <c r="AC160" i="2"/>
  <c r="AB160" i="2"/>
  <c r="M160" i="2"/>
  <c r="V160" i="2" s="1"/>
  <c r="L160" i="2"/>
  <c r="K160" i="2"/>
  <c r="AD160" i="2" s="1"/>
  <c r="F160" i="2"/>
  <c r="R160" i="2" s="1"/>
  <c r="B160" i="2"/>
  <c r="D160" i="2" s="1" a="1"/>
  <c r="D160" i="2" s="1"/>
  <c r="A160" i="2"/>
  <c r="AC159" i="2"/>
  <c r="AB159" i="2"/>
  <c r="M159" i="2"/>
  <c r="V159" i="2" s="1"/>
  <c r="L159" i="2"/>
  <c r="K159" i="2"/>
  <c r="AD159" i="2" s="1"/>
  <c r="F159" i="2"/>
  <c r="R159" i="2" s="1"/>
  <c r="B159" i="2"/>
  <c r="D159" i="2" s="1" a="1"/>
  <c r="D159" i="2" s="1"/>
  <c r="A159" i="2"/>
  <c r="AC158" i="2"/>
  <c r="AB158" i="2"/>
  <c r="M158" i="2"/>
  <c r="V158" i="2" s="1"/>
  <c r="L158" i="2"/>
  <c r="K158" i="2"/>
  <c r="AD158" i="2" s="1"/>
  <c r="F158" i="2"/>
  <c r="R158" i="2" s="1"/>
  <c r="B158" i="2"/>
  <c r="D158" i="2" s="1" a="1"/>
  <c r="D158" i="2" s="1"/>
  <c r="A158" i="2"/>
  <c r="AC157" i="2"/>
  <c r="AB157" i="2"/>
  <c r="M157" i="2"/>
  <c r="V157" i="2" s="1"/>
  <c r="L157" i="2"/>
  <c r="K157" i="2"/>
  <c r="AD157" i="2" s="1"/>
  <c r="F157" i="2"/>
  <c r="R157" i="2" s="1"/>
  <c r="B157" i="2"/>
  <c r="D157" i="2" s="1" a="1"/>
  <c r="D157" i="2" s="1"/>
  <c r="A157" i="2"/>
  <c r="AC156" i="2"/>
  <c r="AB156" i="2"/>
  <c r="M156" i="2"/>
  <c r="V156" i="2" s="1"/>
  <c r="L156" i="2"/>
  <c r="K156" i="2"/>
  <c r="AD156" i="2" s="1"/>
  <c r="F156" i="2"/>
  <c r="R156" i="2" s="1"/>
  <c r="B156" i="2"/>
  <c r="D156" i="2" s="1" a="1"/>
  <c r="D156" i="2" s="1"/>
  <c r="A156" i="2"/>
  <c r="AC155" i="2"/>
  <c r="AB155" i="2"/>
  <c r="M155" i="2"/>
  <c r="V155" i="2" s="1"/>
  <c r="L155" i="2"/>
  <c r="K155" i="2"/>
  <c r="AD155" i="2" s="1"/>
  <c r="F155" i="2"/>
  <c r="R155" i="2" s="1"/>
  <c r="B155" i="2"/>
  <c r="D155" i="2" s="1" a="1"/>
  <c r="D155" i="2" s="1"/>
  <c r="A155" i="2"/>
  <c r="AC154" i="2"/>
  <c r="AB154" i="2"/>
  <c r="M154" i="2"/>
  <c r="V154" i="2" s="1"/>
  <c r="L154" i="2"/>
  <c r="K154" i="2"/>
  <c r="AD154" i="2" s="1"/>
  <c r="F154" i="2"/>
  <c r="R154" i="2" s="1"/>
  <c r="B154" i="2"/>
  <c r="D154" i="2" s="1" a="1"/>
  <c r="D154" i="2" s="1"/>
  <c r="A154" i="2"/>
  <c r="AC153" i="2"/>
  <c r="AB153" i="2"/>
  <c r="M153" i="2"/>
  <c r="V153" i="2" s="1"/>
  <c r="L153" i="2"/>
  <c r="K153" i="2"/>
  <c r="AD153" i="2" s="1"/>
  <c r="F153" i="2"/>
  <c r="R153" i="2" s="1"/>
  <c r="B153" i="2"/>
  <c r="D153" i="2" s="1" a="1"/>
  <c r="D153" i="2" s="1"/>
  <c r="A153" i="2"/>
  <c r="AC152" i="2"/>
  <c r="AB152" i="2"/>
  <c r="M152" i="2"/>
  <c r="V152" i="2" s="1"/>
  <c r="L152" i="2"/>
  <c r="K152" i="2"/>
  <c r="AD152" i="2" s="1"/>
  <c r="F152" i="2"/>
  <c r="R152" i="2" s="1"/>
  <c r="B152" i="2"/>
  <c r="D152" i="2" s="1" a="1"/>
  <c r="D152" i="2" s="1"/>
  <c r="A152" i="2"/>
  <c r="AC151" i="2"/>
  <c r="AB151" i="2"/>
  <c r="M151" i="2"/>
  <c r="V151" i="2" s="1"/>
  <c r="L151" i="2"/>
  <c r="K151" i="2"/>
  <c r="AD151" i="2" s="1"/>
  <c r="F151" i="2"/>
  <c r="R151" i="2" s="1"/>
  <c r="B151" i="2"/>
  <c r="D151" i="2" s="1" a="1"/>
  <c r="D151" i="2" s="1"/>
  <c r="A151" i="2"/>
  <c r="AC150" i="2"/>
  <c r="AB150" i="2"/>
  <c r="M150" i="2"/>
  <c r="V150" i="2" s="1"/>
  <c r="L150" i="2"/>
  <c r="K150" i="2"/>
  <c r="AD150" i="2" s="1"/>
  <c r="F150" i="2"/>
  <c r="R150" i="2" s="1"/>
  <c r="B150" i="2"/>
  <c r="D150" i="2" s="1" a="1"/>
  <c r="D150" i="2" s="1"/>
  <c r="A150" i="2"/>
  <c r="AC149" i="2"/>
  <c r="AB149" i="2"/>
  <c r="M149" i="2"/>
  <c r="V149" i="2" s="1"/>
  <c r="L149" i="2"/>
  <c r="K149" i="2"/>
  <c r="AD149" i="2" s="1"/>
  <c r="F149" i="2"/>
  <c r="R149" i="2" s="1"/>
  <c r="B149" i="2"/>
  <c r="D149" i="2" s="1" a="1"/>
  <c r="D149" i="2" s="1"/>
  <c r="A149" i="2"/>
  <c r="AC148" i="2"/>
  <c r="AB148" i="2"/>
  <c r="M148" i="2"/>
  <c r="V148" i="2" s="1"/>
  <c r="L148" i="2"/>
  <c r="K148" i="2"/>
  <c r="AD148" i="2" s="1"/>
  <c r="F148" i="2"/>
  <c r="R148" i="2" s="1"/>
  <c r="B148" i="2"/>
  <c r="D148" i="2" s="1" a="1"/>
  <c r="D148" i="2" s="1"/>
  <c r="A148" i="2"/>
  <c r="AC147" i="2"/>
  <c r="AB147" i="2"/>
  <c r="M147" i="2"/>
  <c r="V147" i="2" s="1"/>
  <c r="L147" i="2"/>
  <c r="K147" i="2"/>
  <c r="AD147" i="2" s="1"/>
  <c r="F147" i="2"/>
  <c r="R147" i="2" s="1"/>
  <c r="B147" i="2"/>
  <c r="D147" i="2" s="1" a="1"/>
  <c r="D147" i="2" s="1"/>
  <c r="A147" i="2"/>
  <c r="AC146" i="2"/>
  <c r="AB146" i="2"/>
  <c r="M146" i="2"/>
  <c r="V146" i="2" s="1"/>
  <c r="L146" i="2"/>
  <c r="K146" i="2"/>
  <c r="AD146" i="2" s="1"/>
  <c r="F146" i="2"/>
  <c r="R146" i="2" s="1"/>
  <c r="B146" i="2"/>
  <c r="D146" i="2" s="1" a="1"/>
  <c r="D146" i="2" s="1"/>
  <c r="A146" i="2"/>
  <c r="AC145" i="2"/>
  <c r="AB145" i="2"/>
  <c r="M145" i="2"/>
  <c r="V145" i="2" s="1"/>
  <c r="L145" i="2"/>
  <c r="K145" i="2"/>
  <c r="AD145" i="2" s="1"/>
  <c r="F145" i="2"/>
  <c r="R145" i="2" s="1"/>
  <c r="B145" i="2"/>
  <c r="D145" i="2" s="1" a="1"/>
  <c r="D145" i="2" s="1"/>
  <c r="A145" i="2"/>
  <c r="AC144" i="2"/>
  <c r="AB144" i="2"/>
  <c r="M144" i="2"/>
  <c r="V144" i="2" s="1"/>
  <c r="L144" i="2"/>
  <c r="K144" i="2"/>
  <c r="AD144" i="2" s="1"/>
  <c r="F144" i="2"/>
  <c r="R144" i="2" s="1"/>
  <c r="B144" i="2"/>
  <c r="D144" i="2" s="1" a="1"/>
  <c r="D144" i="2" s="1"/>
  <c r="A144" i="2"/>
  <c r="AC143" i="2"/>
  <c r="AB143" i="2"/>
  <c r="M143" i="2"/>
  <c r="V143" i="2" s="1"/>
  <c r="L143" i="2"/>
  <c r="K143" i="2"/>
  <c r="AD143" i="2" s="1"/>
  <c r="F143" i="2"/>
  <c r="R143" i="2" s="1"/>
  <c r="B143" i="2"/>
  <c r="D143" i="2" s="1" a="1"/>
  <c r="D143" i="2" s="1"/>
  <c r="A143" i="2"/>
  <c r="AC142" i="2"/>
  <c r="AB142" i="2"/>
  <c r="M142" i="2"/>
  <c r="V142" i="2" s="1"/>
  <c r="L142" i="2"/>
  <c r="K142" i="2"/>
  <c r="AD142" i="2" s="1"/>
  <c r="F142" i="2"/>
  <c r="R142" i="2" s="1"/>
  <c r="B142" i="2"/>
  <c r="D142" i="2" s="1" a="1"/>
  <c r="D142" i="2" s="1"/>
  <c r="A142" i="2"/>
  <c r="AC141" i="2"/>
  <c r="AB141" i="2"/>
  <c r="M141" i="2"/>
  <c r="V141" i="2" s="1"/>
  <c r="L141" i="2"/>
  <c r="K141" i="2"/>
  <c r="AD141" i="2" s="1"/>
  <c r="F141" i="2"/>
  <c r="R141" i="2" s="1"/>
  <c r="B141" i="2"/>
  <c r="D141" i="2" s="1" a="1"/>
  <c r="D141" i="2" s="1"/>
  <c r="A141" i="2"/>
  <c r="AC140" i="2"/>
  <c r="AB140" i="2"/>
  <c r="M140" i="2"/>
  <c r="V140" i="2" s="1"/>
  <c r="L140" i="2"/>
  <c r="K140" i="2"/>
  <c r="AD140" i="2" s="1"/>
  <c r="F140" i="2"/>
  <c r="R140" i="2" s="1"/>
  <c r="B140" i="2"/>
  <c r="D140" i="2" s="1" a="1"/>
  <c r="D140" i="2" s="1"/>
  <c r="A140" i="2"/>
  <c r="AC139" i="2"/>
  <c r="AB139" i="2"/>
  <c r="M139" i="2"/>
  <c r="V139" i="2" s="1"/>
  <c r="L139" i="2"/>
  <c r="K139" i="2"/>
  <c r="AD139" i="2" s="1"/>
  <c r="F139" i="2"/>
  <c r="R139" i="2" s="1"/>
  <c r="B139" i="2"/>
  <c r="D139" i="2" s="1" a="1"/>
  <c r="D139" i="2" s="1"/>
  <c r="A139" i="2"/>
  <c r="AC138" i="2"/>
  <c r="AB138" i="2"/>
  <c r="M138" i="2"/>
  <c r="V138" i="2" s="1"/>
  <c r="L138" i="2"/>
  <c r="K138" i="2"/>
  <c r="AD138" i="2" s="1"/>
  <c r="F138" i="2"/>
  <c r="R138" i="2" s="1"/>
  <c r="B138" i="2"/>
  <c r="D138" i="2" s="1" a="1"/>
  <c r="D138" i="2" s="1"/>
  <c r="A138" i="2"/>
  <c r="AC137" i="2"/>
  <c r="AB137" i="2"/>
  <c r="M137" i="2"/>
  <c r="V137" i="2" s="1"/>
  <c r="L137" i="2"/>
  <c r="K137" i="2"/>
  <c r="AD137" i="2" s="1"/>
  <c r="F137" i="2"/>
  <c r="R137" i="2" s="1"/>
  <c r="B137" i="2"/>
  <c r="D137" i="2" s="1" a="1"/>
  <c r="D137" i="2" s="1"/>
  <c r="A137" i="2"/>
  <c r="AC136" i="2"/>
  <c r="AB136" i="2"/>
  <c r="M136" i="2"/>
  <c r="V136" i="2" s="1"/>
  <c r="L136" i="2"/>
  <c r="K136" i="2"/>
  <c r="AD136" i="2" s="1"/>
  <c r="F136" i="2"/>
  <c r="R136" i="2" s="1"/>
  <c r="B136" i="2"/>
  <c r="D136" i="2" s="1" a="1"/>
  <c r="D136" i="2" s="1"/>
  <c r="A136" i="2"/>
  <c r="AC135" i="2"/>
  <c r="AB135" i="2"/>
  <c r="M135" i="2"/>
  <c r="V135" i="2" s="1"/>
  <c r="L135" i="2"/>
  <c r="K135" i="2"/>
  <c r="AD135" i="2" s="1"/>
  <c r="F135" i="2"/>
  <c r="R135" i="2" s="1"/>
  <c r="B135" i="2"/>
  <c r="D135" i="2" s="1" a="1"/>
  <c r="D135" i="2" s="1"/>
  <c r="A135" i="2"/>
  <c r="AC134" i="2"/>
  <c r="AB134" i="2"/>
  <c r="M134" i="2"/>
  <c r="V134" i="2" s="1"/>
  <c r="L134" i="2"/>
  <c r="K134" i="2"/>
  <c r="AD134" i="2" s="1"/>
  <c r="F134" i="2"/>
  <c r="R134" i="2" s="1"/>
  <c r="B134" i="2"/>
  <c r="D134" i="2" s="1" a="1"/>
  <c r="D134" i="2" s="1"/>
  <c r="A134" i="2"/>
  <c r="AC133" i="2"/>
  <c r="AB133" i="2"/>
  <c r="M133" i="2"/>
  <c r="V133" i="2" s="1"/>
  <c r="L133" i="2"/>
  <c r="K133" i="2"/>
  <c r="AD133" i="2" s="1"/>
  <c r="F133" i="2"/>
  <c r="R133" i="2" s="1"/>
  <c r="B133" i="2"/>
  <c r="D133" i="2" s="1" a="1"/>
  <c r="D133" i="2" s="1"/>
  <c r="A133" i="2"/>
  <c r="AC132" i="2"/>
  <c r="AB132" i="2"/>
  <c r="M132" i="2"/>
  <c r="V132" i="2" s="1"/>
  <c r="L132" i="2"/>
  <c r="K132" i="2"/>
  <c r="AD132" i="2" s="1"/>
  <c r="F132" i="2"/>
  <c r="R132" i="2" s="1"/>
  <c r="B132" i="2"/>
  <c r="D132" i="2" s="1" a="1"/>
  <c r="D132" i="2" s="1"/>
  <c r="A132" i="2"/>
  <c r="AC131" i="2"/>
  <c r="AB131" i="2"/>
  <c r="M131" i="2"/>
  <c r="V131" i="2" s="1"/>
  <c r="L131" i="2"/>
  <c r="K131" i="2"/>
  <c r="AD131" i="2" s="1"/>
  <c r="F131" i="2"/>
  <c r="R131" i="2" s="1"/>
  <c r="B131" i="2"/>
  <c r="D131" i="2" s="1" a="1"/>
  <c r="D131" i="2" s="1"/>
  <c r="A131" i="2"/>
  <c r="AC130" i="2"/>
  <c r="AB130" i="2"/>
  <c r="M130" i="2"/>
  <c r="V130" i="2" s="1"/>
  <c r="L130" i="2"/>
  <c r="K130" i="2"/>
  <c r="AD130" i="2" s="1"/>
  <c r="F130" i="2"/>
  <c r="R130" i="2" s="1"/>
  <c r="B130" i="2"/>
  <c r="D130" i="2" s="1" a="1"/>
  <c r="D130" i="2" s="1"/>
  <c r="A130" i="2"/>
  <c r="AC129" i="2"/>
  <c r="AB129" i="2"/>
  <c r="M129" i="2"/>
  <c r="V129" i="2" s="1"/>
  <c r="L129" i="2"/>
  <c r="K129" i="2"/>
  <c r="AD129" i="2" s="1"/>
  <c r="F129" i="2"/>
  <c r="R129" i="2" s="1"/>
  <c r="B129" i="2"/>
  <c r="D129" i="2" s="1" a="1"/>
  <c r="D129" i="2" s="1"/>
  <c r="A129" i="2"/>
  <c r="AC128" i="2"/>
  <c r="AB128" i="2"/>
  <c r="M128" i="2"/>
  <c r="V128" i="2" s="1"/>
  <c r="L128" i="2"/>
  <c r="K128" i="2"/>
  <c r="AD128" i="2" s="1"/>
  <c r="F128" i="2"/>
  <c r="R128" i="2" s="1"/>
  <c r="B128" i="2"/>
  <c r="D128" i="2" s="1" a="1"/>
  <c r="D128" i="2" s="1"/>
  <c r="A128" i="2"/>
  <c r="AC127" i="2"/>
  <c r="AB127" i="2"/>
  <c r="M127" i="2"/>
  <c r="V127" i="2" s="1"/>
  <c r="L127" i="2"/>
  <c r="K127" i="2"/>
  <c r="AD127" i="2" s="1"/>
  <c r="F127" i="2"/>
  <c r="R127" i="2" s="1"/>
  <c r="B127" i="2"/>
  <c r="D127" i="2" s="1" a="1"/>
  <c r="D127" i="2" s="1"/>
  <c r="A127" i="2"/>
  <c r="AC126" i="2"/>
  <c r="AB126" i="2"/>
  <c r="M126" i="2"/>
  <c r="V126" i="2" s="1"/>
  <c r="L126" i="2"/>
  <c r="K126" i="2"/>
  <c r="AD126" i="2" s="1"/>
  <c r="F126" i="2"/>
  <c r="R126" i="2" s="1"/>
  <c r="B126" i="2"/>
  <c r="D126" i="2" s="1" a="1"/>
  <c r="D126" i="2" s="1"/>
  <c r="A126" i="2"/>
  <c r="AC125" i="2"/>
  <c r="AB125" i="2"/>
  <c r="M125" i="2"/>
  <c r="V125" i="2" s="1"/>
  <c r="L125" i="2"/>
  <c r="K125" i="2"/>
  <c r="AD125" i="2" s="1"/>
  <c r="F125" i="2"/>
  <c r="R125" i="2" s="1"/>
  <c r="B125" i="2"/>
  <c r="D125" i="2" s="1" a="1"/>
  <c r="D125" i="2" s="1"/>
  <c r="A125" i="2"/>
  <c r="AC124" i="2"/>
  <c r="AB124" i="2"/>
  <c r="M124" i="2"/>
  <c r="V124" i="2" s="1"/>
  <c r="L124" i="2"/>
  <c r="K124" i="2"/>
  <c r="AD124" i="2" s="1"/>
  <c r="F124" i="2"/>
  <c r="R124" i="2" s="1"/>
  <c r="B124" i="2"/>
  <c r="D124" i="2" s="1" a="1"/>
  <c r="D124" i="2" s="1"/>
  <c r="A124" i="2"/>
  <c r="AC123" i="2"/>
  <c r="AB123" i="2"/>
  <c r="M123" i="2"/>
  <c r="V123" i="2" s="1"/>
  <c r="L123" i="2"/>
  <c r="K123" i="2"/>
  <c r="AD123" i="2" s="1"/>
  <c r="F123" i="2"/>
  <c r="R123" i="2" s="1"/>
  <c r="B123" i="2"/>
  <c r="D123" i="2" s="1" a="1"/>
  <c r="D123" i="2" s="1"/>
  <c r="A123" i="2"/>
  <c r="AC122" i="2"/>
  <c r="AB122" i="2"/>
  <c r="M122" i="2"/>
  <c r="V122" i="2" s="1"/>
  <c r="L122" i="2"/>
  <c r="K122" i="2"/>
  <c r="AD122" i="2" s="1"/>
  <c r="F122" i="2"/>
  <c r="R122" i="2" s="1"/>
  <c r="B122" i="2"/>
  <c r="D122" i="2" s="1" a="1"/>
  <c r="D122" i="2" s="1"/>
  <c r="A122" i="2"/>
  <c r="AC121" i="2"/>
  <c r="AB121" i="2"/>
  <c r="M121" i="2"/>
  <c r="V121" i="2" s="1"/>
  <c r="L121" i="2"/>
  <c r="K121" i="2"/>
  <c r="AD121" i="2" s="1"/>
  <c r="F121" i="2"/>
  <c r="R121" i="2" s="1"/>
  <c r="B121" i="2"/>
  <c r="D121" i="2" s="1" a="1"/>
  <c r="D121" i="2" s="1"/>
  <c r="A121" i="2"/>
  <c r="AC120" i="2"/>
  <c r="AB120" i="2"/>
  <c r="M120" i="2"/>
  <c r="V120" i="2" s="1"/>
  <c r="L120" i="2"/>
  <c r="K120" i="2"/>
  <c r="AD120" i="2" s="1"/>
  <c r="F120" i="2"/>
  <c r="R120" i="2" s="1"/>
  <c r="B120" i="2"/>
  <c r="D120" i="2" s="1" a="1"/>
  <c r="D120" i="2" s="1"/>
  <c r="A120" i="2"/>
  <c r="AC119" i="2"/>
  <c r="AB119" i="2"/>
  <c r="M119" i="2"/>
  <c r="V119" i="2" s="1"/>
  <c r="L119" i="2"/>
  <c r="K119" i="2"/>
  <c r="AD119" i="2" s="1"/>
  <c r="F119" i="2"/>
  <c r="R119" i="2" s="1"/>
  <c r="B119" i="2"/>
  <c r="D119" i="2" s="1" a="1"/>
  <c r="D119" i="2" s="1"/>
  <c r="A119" i="2"/>
  <c r="AC118" i="2"/>
  <c r="AB118" i="2"/>
  <c r="M118" i="2"/>
  <c r="V118" i="2" s="1"/>
  <c r="L118" i="2"/>
  <c r="K118" i="2"/>
  <c r="AD118" i="2" s="1"/>
  <c r="F118" i="2"/>
  <c r="R118" i="2" s="1"/>
  <c r="B118" i="2"/>
  <c r="D118" i="2" s="1" a="1"/>
  <c r="D118" i="2" s="1"/>
  <c r="A118" i="2"/>
  <c r="AC117" i="2"/>
  <c r="AB117" i="2"/>
  <c r="M117" i="2"/>
  <c r="V117" i="2" s="1"/>
  <c r="L117" i="2"/>
  <c r="K117" i="2"/>
  <c r="AD117" i="2" s="1"/>
  <c r="F117" i="2"/>
  <c r="R117" i="2" s="1"/>
  <c r="B117" i="2"/>
  <c r="D117" i="2" s="1" a="1"/>
  <c r="D117" i="2" s="1"/>
  <c r="A117" i="2"/>
  <c r="AC116" i="2"/>
  <c r="AB116" i="2"/>
  <c r="M116" i="2"/>
  <c r="V116" i="2" s="1"/>
  <c r="L116" i="2"/>
  <c r="K116" i="2"/>
  <c r="AD116" i="2" s="1"/>
  <c r="F116" i="2"/>
  <c r="R116" i="2" s="1"/>
  <c r="B116" i="2"/>
  <c r="D116" i="2" s="1" a="1"/>
  <c r="D116" i="2" s="1"/>
  <c r="A116" i="2"/>
  <c r="AC115" i="2"/>
  <c r="AB115" i="2"/>
  <c r="M115" i="2"/>
  <c r="V115" i="2" s="1"/>
  <c r="L115" i="2"/>
  <c r="K115" i="2"/>
  <c r="AD115" i="2" s="1"/>
  <c r="F115" i="2"/>
  <c r="R115" i="2" s="1"/>
  <c r="B115" i="2"/>
  <c r="D115" i="2" s="1" a="1"/>
  <c r="D115" i="2" s="1"/>
  <c r="A115" i="2"/>
  <c r="AC114" i="2"/>
  <c r="AB114" i="2"/>
  <c r="M114" i="2"/>
  <c r="V114" i="2" s="1"/>
  <c r="L114" i="2"/>
  <c r="K114" i="2"/>
  <c r="AD114" i="2" s="1"/>
  <c r="F114" i="2"/>
  <c r="R114" i="2" s="1"/>
  <c r="B114" i="2"/>
  <c r="D114" i="2" s="1" a="1"/>
  <c r="D114" i="2" s="1"/>
  <c r="A114" i="2"/>
  <c r="AC113" i="2"/>
  <c r="AB113" i="2"/>
  <c r="M113" i="2"/>
  <c r="V113" i="2" s="1"/>
  <c r="L113" i="2"/>
  <c r="K113" i="2"/>
  <c r="AD113" i="2" s="1"/>
  <c r="F113" i="2"/>
  <c r="R113" i="2" s="1"/>
  <c r="B113" i="2"/>
  <c r="D113" i="2" s="1" a="1"/>
  <c r="D113" i="2" s="1"/>
  <c r="A113" i="2"/>
  <c r="AC112" i="2"/>
  <c r="AB112" i="2"/>
  <c r="M112" i="2"/>
  <c r="V112" i="2" s="1"/>
  <c r="L112" i="2"/>
  <c r="K112" i="2"/>
  <c r="AD112" i="2" s="1"/>
  <c r="F112" i="2"/>
  <c r="R112" i="2" s="1"/>
  <c r="B112" i="2"/>
  <c r="D112" i="2" s="1" a="1"/>
  <c r="D112" i="2" s="1"/>
  <c r="A112" i="2"/>
  <c r="AC111" i="2"/>
  <c r="AB111" i="2"/>
  <c r="M111" i="2"/>
  <c r="V111" i="2" s="1"/>
  <c r="L111" i="2"/>
  <c r="K111" i="2"/>
  <c r="AD111" i="2" s="1"/>
  <c r="F111" i="2"/>
  <c r="R111" i="2" s="1"/>
  <c r="B111" i="2"/>
  <c r="D111" i="2" s="1" a="1"/>
  <c r="D111" i="2" s="1"/>
  <c r="A111" i="2"/>
  <c r="AC110" i="2"/>
  <c r="AB110" i="2"/>
  <c r="M110" i="2"/>
  <c r="V110" i="2" s="1"/>
  <c r="L110" i="2"/>
  <c r="K110" i="2"/>
  <c r="AD110" i="2" s="1"/>
  <c r="F110" i="2"/>
  <c r="R110" i="2" s="1"/>
  <c r="B110" i="2"/>
  <c r="D110" i="2" s="1" a="1"/>
  <c r="D110" i="2" s="1"/>
  <c r="A110" i="2"/>
  <c r="AC109" i="2"/>
  <c r="AB109" i="2"/>
  <c r="M109" i="2"/>
  <c r="V109" i="2" s="1"/>
  <c r="L109" i="2"/>
  <c r="K109" i="2"/>
  <c r="AD109" i="2" s="1"/>
  <c r="F109" i="2"/>
  <c r="R109" i="2" s="1"/>
  <c r="B109" i="2"/>
  <c r="D109" i="2" s="1" a="1"/>
  <c r="D109" i="2" s="1"/>
  <c r="A109" i="2"/>
  <c r="AC108" i="2"/>
  <c r="AB108" i="2"/>
  <c r="M108" i="2"/>
  <c r="V108" i="2" s="1"/>
  <c r="L108" i="2"/>
  <c r="K108" i="2"/>
  <c r="AD108" i="2" s="1"/>
  <c r="F108" i="2"/>
  <c r="R108" i="2" s="1"/>
  <c r="B108" i="2"/>
  <c r="D108" i="2" s="1" a="1"/>
  <c r="D108" i="2" s="1"/>
  <c r="A108" i="2"/>
  <c r="AC107" i="2"/>
  <c r="AB107" i="2"/>
  <c r="M107" i="2"/>
  <c r="V107" i="2" s="1"/>
  <c r="L107" i="2"/>
  <c r="K107" i="2"/>
  <c r="AD107" i="2" s="1"/>
  <c r="F107" i="2"/>
  <c r="R107" i="2" s="1"/>
  <c r="B107" i="2"/>
  <c r="D107" i="2" s="1" a="1"/>
  <c r="D107" i="2" s="1"/>
  <c r="A107" i="2"/>
  <c r="AC106" i="2"/>
  <c r="AB106" i="2"/>
  <c r="M106" i="2"/>
  <c r="V106" i="2" s="1"/>
  <c r="L106" i="2"/>
  <c r="K106" i="2" s="1"/>
  <c r="AD106" i="2" s="1"/>
  <c r="F106" i="2"/>
  <c r="R106" i="2" s="1"/>
  <c r="B106" i="2"/>
  <c r="D106" i="2" s="1" a="1"/>
  <c r="D106" i="2" s="1"/>
  <c r="A106" i="2"/>
  <c r="AC105" i="2"/>
  <c r="AB105" i="2"/>
  <c r="M105" i="2"/>
  <c r="V105" i="2" s="1"/>
  <c r="L105" i="2"/>
  <c r="K105" i="2" s="1"/>
  <c r="AD105" i="2" s="1"/>
  <c r="F105" i="2"/>
  <c r="R105" i="2" s="1"/>
  <c r="B105" i="2"/>
  <c r="D105" i="2" s="1" a="1"/>
  <c r="D105" i="2" s="1"/>
  <c r="A105" i="2"/>
  <c r="AC104" i="2"/>
  <c r="AB104" i="2"/>
  <c r="M104" i="2"/>
  <c r="V104" i="2" s="1"/>
  <c r="L104" i="2"/>
  <c r="K104" i="2" s="1"/>
  <c r="AD104" i="2" s="1"/>
  <c r="F104" i="2"/>
  <c r="R104" i="2" s="1"/>
  <c r="B104" i="2"/>
  <c r="D104" i="2" s="1" a="1"/>
  <c r="D104" i="2" s="1"/>
  <c r="A104" i="2"/>
  <c r="AC103" i="2"/>
  <c r="AB103" i="2"/>
  <c r="M103" i="2"/>
  <c r="V103" i="2" s="1"/>
  <c r="L103" i="2"/>
  <c r="K103" i="2" s="1"/>
  <c r="AD103" i="2" s="1"/>
  <c r="F103" i="2"/>
  <c r="R103" i="2" s="1"/>
  <c r="B103" i="2"/>
  <c r="D103" i="2" s="1" a="1"/>
  <c r="D103" i="2" s="1"/>
  <c r="A103" i="2"/>
  <c r="AC102" i="2"/>
  <c r="AB102" i="2"/>
  <c r="M102" i="2"/>
  <c r="V102" i="2" s="1"/>
  <c r="L102" i="2"/>
  <c r="K102" i="2" s="1"/>
  <c r="AD102" i="2" s="1"/>
  <c r="F102" i="2"/>
  <c r="R102" i="2" s="1"/>
  <c r="B102" i="2"/>
  <c r="D102" i="2" s="1" a="1"/>
  <c r="D102" i="2" s="1"/>
  <c r="A102" i="2"/>
  <c r="AC101" i="2"/>
  <c r="AB101" i="2"/>
  <c r="M101" i="2"/>
  <c r="V101" i="2" s="1"/>
  <c r="L101" i="2"/>
  <c r="K101" i="2" s="1"/>
  <c r="AD101" i="2" s="1"/>
  <c r="F101" i="2"/>
  <c r="R101" i="2" s="1"/>
  <c r="B101" i="2"/>
  <c r="D101" i="2" s="1" a="1"/>
  <c r="D101" i="2" s="1"/>
  <c r="A101" i="2"/>
  <c r="AC100" i="2"/>
  <c r="AB100" i="2"/>
  <c r="M100" i="2"/>
  <c r="V100" i="2" s="1"/>
  <c r="L100" i="2"/>
  <c r="K100" i="2" s="1"/>
  <c r="AD100" i="2" s="1"/>
  <c r="F100" i="2"/>
  <c r="R100" i="2" s="1"/>
  <c r="B100" i="2"/>
  <c r="D100" i="2" s="1" a="1"/>
  <c r="D100" i="2" s="1"/>
  <c r="A100" i="2"/>
  <c r="AC99" i="2"/>
  <c r="AB99" i="2"/>
  <c r="M99" i="2"/>
  <c r="V99" i="2" s="1"/>
  <c r="L99" i="2"/>
  <c r="K99" i="2" s="1"/>
  <c r="AD99" i="2" s="1"/>
  <c r="F99" i="2"/>
  <c r="R99" i="2" s="1"/>
  <c r="B99" i="2"/>
  <c r="D99" i="2" s="1" a="1"/>
  <c r="D99" i="2" s="1"/>
  <c r="A99" i="2"/>
  <c r="AC98" i="2"/>
  <c r="AB98" i="2"/>
  <c r="M98" i="2"/>
  <c r="V98" i="2" s="1"/>
  <c r="L98" i="2"/>
  <c r="K98" i="2" s="1"/>
  <c r="AD98" i="2" s="1"/>
  <c r="F98" i="2"/>
  <c r="R98" i="2" s="1"/>
  <c r="B98" i="2"/>
  <c r="D98" i="2" s="1" a="1"/>
  <c r="D98" i="2" s="1"/>
  <c r="A98" i="2"/>
  <c r="AC97" i="2"/>
  <c r="AB97" i="2"/>
  <c r="M97" i="2"/>
  <c r="V97" i="2" s="1"/>
  <c r="L97" i="2"/>
  <c r="K97" i="2" s="1"/>
  <c r="AD97" i="2" s="1"/>
  <c r="F97" i="2"/>
  <c r="R97" i="2" s="1"/>
  <c r="B97" i="2"/>
  <c r="D97" i="2" s="1" a="1"/>
  <c r="D97" i="2" s="1"/>
  <c r="A97" i="2"/>
  <c r="AC96" i="2"/>
  <c r="AB96" i="2"/>
  <c r="M96" i="2"/>
  <c r="V96" i="2" s="1"/>
  <c r="L96" i="2"/>
  <c r="K96" i="2"/>
  <c r="AD96" i="2" s="1"/>
  <c r="F96" i="2"/>
  <c r="R96" i="2" s="1"/>
  <c r="B96" i="2"/>
  <c r="D96" i="2" s="1" a="1"/>
  <c r="D96" i="2" s="1"/>
  <c r="A96" i="2"/>
  <c r="AC95" i="2"/>
  <c r="AB95" i="2"/>
  <c r="M95" i="2"/>
  <c r="V95" i="2" s="1"/>
  <c r="L95" i="2"/>
  <c r="K95" i="2" s="1"/>
  <c r="AD95" i="2" s="1"/>
  <c r="F95" i="2"/>
  <c r="R95" i="2" s="1"/>
  <c r="B95" i="2"/>
  <c r="D95" i="2" s="1" a="1"/>
  <c r="D95" i="2" s="1"/>
  <c r="A95" i="2"/>
  <c r="AC94" i="2"/>
  <c r="AB94" i="2"/>
  <c r="M94" i="2"/>
  <c r="V94" i="2" s="1"/>
  <c r="L94" i="2"/>
  <c r="K94" i="2" s="1"/>
  <c r="AD94" i="2" s="1"/>
  <c r="F94" i="2"/>
  <c r="R94" i="2" s="1"/>
  <c r="B94" i="2"/>
  <c r="D94" i="2" s="1" a="1"/>
  <c r="D94" i="2" s="1"/>
  <c r="A94" i="2"/>
  <c r="AC93" i="2"/>
  <c r="AB93" i="2"/>
  <c r="M93" i="2"/>
  <c r="V93" i="2" s="1"/>
  <c r="L93" i="2"/>
  <c r="K93" i="2" s="1"/>
  <c r="AD93" i="2" s="1"/>
  <c r="F93" i="2"/>
  <c r="R93" i="2" s="1"/>
  <c r="B93" i="2"/>
  <c r="D93" i="2" s="1" a="1"/>
  <c r="D93" i="2" s="1"/>
  <c r="A93" i="2"/>
  <c r="AC92" i="2"/>
  <c r="AB92" i="2"/>
  <c r="M92" i="2"/>
  <c r="V92" i="2" s="1"/>
  <c r="L92" i="2"/>
  <c r="K92" i="2" s="1"/>
  <c r="AD92" i="2" s="1"/>
  <c r="F92" i="2"/>
  <c r="R92" i="2" s="1"/>
  <c r="B92" i="2"/>
  <c r="D92" i="2" s="1" a="1"/>
  <c r="D92" i="2" s="1"/>
  <c r="A92" i="2"/>
  <c r="AC91" i="2"/>
  <c r="AB91" i="2"/>
  <c r="M91" i="2"/>
  <c r="V91" i="2" s="1"/>
  <c r="L91" i="2"/>
  <c r="K91" i="2" s="1"/>
  <c r="AD91" i="2" s="1"/>
  <c r="F91" i="2"/>
  <c r="R91" i="2" s="1"/>
  <c r="B91" i="2"/>
  <c r="D91" i="2" s="1" a="1"/>
  <c r="D91" i="2" s="1"/>
  <c r="A91" i="2"/>
  <c r="AC90" i="2"/>
  <c r="AB90" i="2"/>
  <c r="M90" i="2"/>
  <c r="V90" i="2" s="1"/>
  <c r="L90" i="2"/>
  <c r="K90" i="2" s="1"/>
  <c r="AD90" i="2" s="1"/>
  <c r="F90" i="2"/>
  <c r="R90" i="2" s="1"/>
  <c r="B90" i="2"/>
  <c r="D90" i="2" s="1" a="1"/>
  <c r="D90" i="2" s="1"/>
  <c r="A90" i="2"/>
  <c r="AC89" i="2"/>
  <c r="AB89" i="2"/>
  <c r="M89" i="2"/>
  <c r="V89" i="2" s="1"/>
  <c r="L89" i="2"/>
  <c r="K89" i="2" s="1"/>
  <c r="AD89" i="2" s="1"/>
  <c r="F89" i="2"/>
  <c r="R89" i="2" s="1"/>
  <c r="B89" i="2"/>
  <c r="D89" i="2" s="1" a="1"/>
  <c r="D89" i="2" s="1"/>
  <c r="A89" i="2"/>
  <c r="AC88" i="2"/>
  <c r="AB88" i="2"/>
  <c r="M88" i="2"/>
  <c r="V88" i="2" s="1"/>
  <c r="L88" i="2"/>
  <c r="K88" i="2" s="1"/>
  <c r="AD88" i="2" s="1"/>
  <c r="F88" i="2"/>
  <c r="R88" i="2" s="1"/>
  <c r="B88" i="2"/>
  <c r="D88" i="2" s="1" a="1"/>
  <c r="D88" i="2" s="1"/>
  <c r="A88" i="2"/>
  <c r="AC87" i="2"/>
  <c r="AB87" i="2"/>
  <c r="M87" i="2"/>
  <c r="V87" i="2" s="1"/>
  <c r="L87" i="2"/>
  <c r="K87" i="2" s="1"/>
  <c r="AD87" i="2" s="1"/>
  <c r="F87" i="2"/>
  <c r="R87" i="2" s="1"/>
  <c r="B87" i="2"/>
  <c r="D87" i="2" s="1" a="1"/>
  <c r="D87" i="2" s="1"/>
  <c r="A87" i="2"/>
  <c r="AC86" i="2"/>
  <c r="AB86" i="2"/>
  <c r="M86" i="2"/>
  <c r="V86" i="2" s="1"/>
  <c r="L86" i="2"/>
  <c r="K86" i="2" s="1"/>
  <c r="AD86" i="2" s="1"/>
  <c r="F86" i="2"/>
  <c r="R86" i="2" s="1"/>
  <c r="B86" i="2"/>
  <c r="D86" i="2" s="1" a="1"/>
  <c r="D86" i="2" s="1"/>
  <c r="A86" i="2"/>
  <c r="AC85" i="2"/>
  <c r="AB85" i="2"/>
  <c r="M85" i="2"/>
  <c r="V85" i="2" s="1"/>
  <c r="L85" i="2"/>
  <c r="K85" i="2" s="1"/>
  <c r="AD85" i="2" s="1"/>
  <c r="F85" i="2"/>
  <c r="R85" i="2" s="1"/>
  <c r="B85" i="2"/>
  <c r="D85" i="2" s="1" a="1"/>
  <c r="D85" i="2" s="1"/>
  <c r="A85" i="2"/>
  <c r="AC84" i="2"/>
  <c r="AB84" i="2"/>
  <c r="M84" i="2"/>
  <c r="V84" i="2" s="1"/>
  <c r="L84" i="2"/>
  <c r="K84" i="2" s="1"/>
  <c r="AD84" i="2" s="1"/>
  <c r="F84" i="2"/>
  <c r="R84" i="2" s="1"/>
  <c r="B84" i="2"/>
  <c r="D84" i="2" s="1" a="1"/>
  <c r="D84" i="2" s="1"/>
  <c r="A84" i="2"/>
  <c r="AC83" i="2"/>
  <c r="AB83" i="2"/>
  <c r="M83" i="2"/>
  <c r="V83" i="2" s="1"/>
  <c r="L83" i="2"/>
  <c r="K83" i="2" s="1"/>
  <c r="AD83" i="2" s="1"/>
  <c r="F83" i="2"/>
  <c r="R83" i="2" s="1"/>
  <c r="B83" i="2"/>
  <c r="D83" i="2" s="1" a="1"/>
  <c r="D83" i="2" s="1"/>
  <c r="A83" i="2"/>
  <c r="AC82" i="2"/>
  <c r="AB82" i="2"/>
  <c r="M82" i="2"/>
  <c r="V82" i="2" s="1"/>
  <c r="L82" i="2"/>
  <c r="K82" i="2" s="1"/>
  <c r="AD82" i="2" s="1"/>
  <c r="F82" i="2"/>
  <c r="R82" i="2" s="1"/>
  <c r="B82" i="2"/>
  <c r="D82" i="2" s="1" a="1"/>
  <c r="D82" i="2" s="1"/>
  <c r="A82" i="2"/>
  <c r="AC81" i="2"/>
  <c r="AB81" i="2"/>
  <c r="M81" i="2"/>
  <c r="V81" i="2" s="1"/>
  <c r="L81" i="2"/>
  <c r="K81" i="2" s="1"/>
  <c r="AD81" i="2" s="1"/>
  <c r="F81" i="2"/>
  <c r="R81" i="2" s="1"/>
  <c r="B81" i="2"/>
  <c r="D81" i="2" s="1" a="1"/>
  <c r="D81" i="2" s="1"/>
  <c r="A81" i="2"/>
  <c r="AC80" i="2"/>
  <c r="AB80" i="2"/>
  <c r="M80" i="2"/>
  <c r="V80" i="2" s="1"/>
  <c r="L80" i="2"/>
  <c r="K80" i="2" s="1"/>
  <c r="AD80" i="2" s="1"/>
  <c r="F80" i="2"/>
  <c r="R80" i="2" s="1"/>
  <c r="B80" i="2"/>
  <c r="D80" i="2" s="1" a="1"/>
  <c r="D80" i="2" s="1"/>
  <c r="A80" i="2"/>
  <c r="AC79" i="2"/>
  <c r="AB79" i="2"/>
  <c r="M79" i="2"/>
  <c r="V79" i="2" s="1"/>
  <c r="L79" i="2"/>
  <c r="K79" i="2" s="1"/>
  <c r="AD79" i="2" s="1"/>
  <c r="F79" i="2"/>
  <c r="R79" i="2" s="1"/>
  <c r="B79" i="2"/>
  <c r="D79" i="2" s="1" a="1"/>
  <c r="D79" i="2" s="1"/>
  <c r="A79" i="2"/>
  <c r="AC78" i="2"/>
  <c r="AB78" i="2"/>
  <c r="M78" i="2"/>
  <c r="V78" i="2" s="1"/>
  <c r="L78" i="2"/>
  <c r="K78" i="2" s="1"/>
  <c r="AD78" i="2" s="1"/>
  <c r="F78" i="2"/>
  <c r="R78" i="2" s="1"/>
  <c r="B78" i="2"/>
  <c r="D78" i="2" s="1" a="1"/>
  <c r="D78" i="2" s="1"/>
  <c r="A78" i="2"/>
  <c r="AC77" i="2"/>
  <c r="AB77" i="2"/>
  <c r="M77" i="2"/>
  <c r="V77" i="2" s="1"/>
  <c r="L77" i="2"/>
  <c r="K77" i="2" s="1"/>
  <c r="AD77" i="2" s="1"/>
  <c r="F77" i="2"/>
  <c r="R77" i="2" s="1"/>
  <c r="B77" i="2"/>
  <c r="D77" i="2" s="1" a="1"/>
  <c r="D77" i="2" s="1"/>
  <c r="A77" i="2"/>
  <c r="AC76" i="2"/>
  <c r="AB76" i="2"/>
  <c r="M76" i="2"/>
  <c r="V76" i="2" s="1"/>
  <c r="L76" i="2"/>
  <c r="K76" i="2"/>
  <c r="AD76" i="2" s="1"/>
  <c r="F76" i="2"/>
  <c r="R76" i="2" s="1"/>
  <c r="D76" i="2" a="1"/>
  <c r="D76" i="2" s="1"/>
  <c r="B76" i="2"/>
  <c r="A76" i="2"/>
  <c r="AC75" i="2"/>
  <c r="AB75" i="2"/>
  <c r="M75" i="2"/>
  <c r="V75" i="2" s="1"/>
  <c r="L75" i="2"/>
  <c r="K75" i="2" s="1"/>
  <c r="AD75" i="2" s="1"/>
  <c r="F75" i="2"/>
  <c r="R75" i="2" s="1"/>
  <c r="B75" i="2"/>
  <c r="D75" i="2" s="1" a="1"/>
  <c r="D75" i="2" s="1"/>
  <c r="A75" i="2"/>
  <c r="AC74" i="2"/>
  <c r="AB74" i="2"/>
  <c r="M74" i="2"/>
  <c r="V74" i="2" s="1"/>
  <c r="L74" i="2"/>
  <c r="K74" i="2" s="1"/>
  <c r="AD74" i="2" s="1"/>
  <c r="F74" i="2"/>
  <c r="R74" i="2" s="1"/>
  <c r="B74" i="2"/>
  <c r="D74" i="2" s="1" a="1"/>
  <c r="D74" i="2" s="1"/>
  <c r="A74" i="2"/>
  <c r="AC73" i="2"/>
  <c r="AB73" i="2"/>
  <c r="M73" i="2"/>
  <c r="V73" i="2" s="1"/>
  <c r="L73" i="2"/>
  <c r="K73" i="2" s="1"/>
  <c r="AD73" i="2" s="1"/>
  <c r="F73" i="2"/>
  <c r="R73" i="2" s="1"/>
  <c r="B73" i="2"/>
  <c r="D73" i="2" s="1" a="1"/>
  <c r="D73" i="2" s="1"/>
  <c r="A73" i="2"/>
  <c r="AC72" i="2"/>
  <c r="AB72" i="2"/>
  <c r="M72" i="2"/>
  <c r="V72" i="2" s="1"/>
  <c r="L72" i="2"/>
  <c r="K72" i="2" s="1"/>
  <c r="AD72" i="2" s="1"/>
  <c r="F72" i="2"/>
  <c r="R72" i="2" s="1"/>
  <c r="B72" i="2"/>
  <c r="D72" i="2" s="1" a="1"/>
  <c r="D72" i="2" s="1"/>
  <c r="A72" i="2"/>
  <c r="AC71" i="2"/>
  <c r="AB71" i="2"/>
  <c r="M71" i="2"/>
  <c r="V71" i="2" s="1"/>
  <c r="L71" i="2"/>
  <c r="K71" i="2" s="1"/>
  <c r="AD71" i="2" s="1"/>
  <c r="F71" i="2"/>
  <c r="R71" i="2" s="1"/>
  <c r="B71" i="2"/>
  <c r="D71" i="2" s="1" a="1"/>
  <c r="D71" i="2" s="1"/>
  <c r="A71" i="2"/>
  <c r="AC70" i="2"/>
  <c r="AB70" i="2"/>
  <c r="M70" i="2"/>
  <c r="V70" i="2" s="1"/>
  <c r="L70" i="2"/>
  <c r="K70" i="2" s="1"/>
  <c r="AD70" i="2" s="1"/>
  <c r="F70" i="2"/>
  <c r="R70" i="2" s="1"/>
  <c r="B70" i="2"/>
  <c r="D70" i="2" s="1" a="1"/>
  <c r="D70" i="2" s="1"/>
  <c r="A70" i="2"/>
  <c r="AC69" i="2"/>
  <c r="AB69" i="2"/>
  <c r="M69" i="2"/>
  <c r="V69" i="2" s="1"/>
  <c r="L69" i="2"/>
  <c r="K69" i="2" s="1"/>
  <c r="AD69" i="2" s="1"/>
  <c r="F69" i="2"/>
  <c r="R69" i="2" s="1"/>
  <c r="B69" i="2"/>
  <c r="D69" i="2" s="1" a="1"/>
  <c r="D69" i="2" s="1"/>
  <c r="A69" i="2"/>
  <c r="AC68" i="2"/>
  <c r="AB68" i="2"/>
  <c r="M68" i="2"/>
  <c r="V68" i="2" s="1"/>
  <c r="L68" i="2"/>
  <c r="K68" i="2" s="1"/>
  <c r="AD68" i="2" s="1"/>
  <c r="F68" i="2"/>
  <c r="R68" i="2" s="1"/>
  <c r="B68" i="2"/>
  <c r="D68" i="2" s="1" a="1"/>
  <c r="D68" i="2" s="1"/>
  <c r="A68" i="2"/>
  <c r="AC67" i="2"/>
  <c r="AB67" i="2"/>
  <c r="M67" i="2"/>
  <c r="V67" i="2" s="1"/>
  <c r="L67" i="2"/>
  <c r="K67" i="2"/>
  <c r="AD67" i="2" s="1"/>
  <c r="F67" i="2"/>
  <c r="R67" i="2" s="1"/>
  <c r="B67" i="2"/>
  <c r="D67" i="2" s="1" a="1"/>
  <c r="D67" i="2" s="1"/>
  <c r="A67" i="2"/>
  <c r="AC66" i="2"/>
  <c r="AB66" i="2"/>
  <c r="M66" i="2"/>
  <c r="V66" i="2" s="1"/>
  <c r="L66" i="2"/>
  <c r="K66" i="2"/>
  <c r="AD66" i="2" s="1"/>
  <c r="F66" i="2"/>
  <c r="R66" i="2" s="1"/>
  <c r="B66" i="2"/>
  <c r="D66" i="2" s="1" a="1"/>
  <c r="D66" i="2" s="1"/>
  <c r="A66" i="2"/>
  <c r="AC65" i="2"/>
  <c r="AB65" i="2"/>
  <c r="M65" i="2"/>
  <c r="V65" i="2" s="1"/>
  <c r="L65" i="2"/>
  <c r="K65" i="2"/>
  <c r="AD65" i="2" s="1"/>
  <c r="F65" i="2"/>
  <c r="R65" i="2" s="1"/>
  <c r="B65" i="2"/>
  <c r="D65" i="2" s="1" a="1"/>
  <c r="D65" i="2" s="1"/>
  <c r="A65" i="2"/>
  <c r="AC64" i="2"/>
  <c r="AB64" i="2"/>
  <c r="M64" i="2"/>
  <c r="V64" i="2" s="1"/>
  <c r="L64" i="2"/>
  <c r="K64" i="2"/>
  <c r="AD64" i="2" s="1"/>
  <c r="F64" i="2"/>
  <c r="R64" i="2" s="1"/>
  <c r="B64" i="2"/>
  <c r="D64" i="2" s="1" a="1"/>
  <c r="D64" i="2" s="1"/>
  <c r="A64" i="2"/>
  <c r="AC63" i="2"/>
  <c r="AB63" i="2"/>
  <c r="F63" i="2"/>
  <c r="R63" i="2" s="1"/>
  <c r="B63" i="2"/>
  <c r="D63" i="2" s="1" a="1"/>
  <c r="D63" i="2" s="1"/>
  <c r="A63" i="2"/>
  <c r="AC62" i="2"/>
  <c r="AB62" i="2"/>
  <c r="F62" i="2"/>
  <c r="R62" i="2" s="1"/>
  <c r="B62" i="2"/>
  <c r="D62" i="2" s="1" a="1"/>
  <c r="D62" i="2" s="1"/>
  <c r="A62" i="2"/>
  <c r="AC61" i="2"/>
  <c r="AB61" i="2"/>
  <c r="F61" i="2"/>
  <c r="R61" i="2" s="1"/>
  <c r="B61" i="2"/>
  <c r="D61" i="2" s="1" a="1"/>
  <c r="D61" i="2" s="1"/>
  <c r="A61" i="2"/>
  <c r="AC60" i="2"/>
  <c r="AB60" i="2"/>
  <c r="F60" i="2"/>
  <c r="R60" i="2" s="1"/>
  <c r="B60" i="2"/>
  <c r="D60" i="2" s="1" a="1"/>
  <c r="D60" i="2" s="1"/>
  <c r="A60" i="2"/>
  <c r="AC59" i="2"/>
  <c r="AB59" i="2"/>
  <c r="F59" i="2"/>
  <c r="R59" i="2" s="1"/>
  <c r="B59" i="2"/>
  <c r="D59" i="2" s="1" a="1"/>
  <c r="D59" i="2" s="1"/>
  <c r="A59" i="2"/>
  <c r="AC58" i="2"/>
  <c r="AB58" i="2"/>
  <c r="F58" i="2"/>
  <c r="R58" i="2" s="1"/>
  <c r="B58" i="2"/>
  <c r="D58" i="2" s="1" a="1"/>
  <c r="D58" i="2" s="1"/>
  <c r="A58" i="2"/>
  <c r="AC57" i="2"/>
  <c r="AB57" i="2"/>
  <c r="R57" i="2"/>
  <c r="B57" i="2"/>
  <c r="A57" i="2"/>
  <c r="AC56" i="2"/>
  <c r="AB56" i="2"/>
  <c r="R56" i="2"/>
  <c r="B56" i="2"/>
  <c r="A56" i="2"/>
  <c r="AC55" i="2"/>
  <c r="AB55" i="2"/>
  <c r="R55" i="2"/>
  <c r="B55" i="2"/>
  <c r="A55" i="2"/>
  <c r="AC54" i="2"/>
  <c r="AB54" i="2"/>
  <c r="R54" i="2"/>
  <c r="B54" i="2"/>
  <c r="A54" i="2"/>
  <c r="AC53" i="2"/>
  <c r="AB53" i="2"/>
  <c r="R53" i="2"/>
  <c r="B53" i="2"/>
  <c r="A53" i="2"/>
  <c r="AC52" i="2"/>
  <c r="AB52" i="2"/>
  <c r="R52" i="2"/>
  <c r="B52" i="2"/>
  <c r="A52" i="2"/>
  <c r="AC51" i="2"/>
  <c r="AB51" i="2"/>
  <c r="R51" i="2"/>
  <c r="B51" i="2"/>
  <c r="A51" i="2"/>
  <c r="AC50" i="2"/>
  <c r="AB50" i="2"/>
  <c r="R50" i="2"/>
  <c r="B50" i="2"/>
  <c r="A50" i="2"/>
  <c r="AC49" i="2"/>
  <c r="AB49" i="2"/>
  <c r="R49" i="2"/>
  <c r="B49" i="2"/>
  <c r="A49" i="2"/>
  <c r="AC48" i="2"/>
  <c r="AB48" i="2"/>
  <c r="R48" i="2"/>
  <c r="B48" i="2"/>
  <c r="A48" i="2"/>
  <c r="AC47" i="2"/>
  <c r="AB47" i="2"/>
  <c r="R47" i="2"/>
  <c r="B47" i="2"/>
  <c r="A47" i="2"/>
  <c r="AC46" i="2"/>
  <c r="AB46" i="2"/>
  <c r="R46" i="2"/>
  <c r="B46" i="2"/>
  <c r="A46" i="2"/>
  <c r="AC45" i="2"/>
  <c r="AB45" i="2"/>
  <c r="R45" i="2"/>
  <c r="B45" i="2"/>
  <c r="A45" i="2"/>
  <c r="AC44" i="2"/>
  <c r="AB44" i="2"/>
  <c r="R44" i="2"/>
  <c r="B44" i="2"/>
  <c r="A44" i="2"/>
  <c r="AC43" i="2"/>
  <c r="AB43" i="2"/>
  <c r="R43" i="2"/>
  <c r="B43" i="2"/>
  <c r="A43" i="2"/>
  <c r="AC42" i="2"/>
  <c r="AB42" i="2"/>
  <c r="R42" i="2"/>
  <c r="B42" i="2"/>
  <c r="A42" i="2"/>
  <c r="AC41" i="2"/>
  <c r="AB41" i="2"/>
  <c r="R41" i="2"/>
  <c r="B41" i="2"/>
  <c r="A41" i="2"/>
  <c r="AC40" i="2"/>
  <c r="AB40" i="2"/>
  <c r="R40" i="2"/>
  <c r="B40" i="2"/>
  <c r="A40" i="2"/>
  <c r="AC39" i="2"/>
  <c r="AB39" i="2"/>
  <c r="R39" i="2"/>
  <c r="B39" i="2"/>
  <c r="A39" i="2"/>
  <c r="AC38" i="2"/>
  <c r="AB38" i="2"/>
  <c r="R38" i="2"/>
  <c r="B38" i="2"/>
  <c r="A38" i="2"/>
  <c r="AC37" i="2"/>
  <c r="AB37" i="2"/>
  <c r="R37" i="2"/>
  <c r="B37" i="2"/>
  <c r="A37" i="2"/>
  <c r="AC36" i="2"/>
  <c r="AB36" i="2"/>
  <c r="R36" i="2"/>
  <c r="B36" i="2"/>
  <c r="A36" i="2"/>
  <c r="AC35" i="2"/>
  <c r="AB35" i="2"/>
  <c r="R35" i="2"/>
  <c r="B35" i="2"/>
  <c r="A35" i="2"/>
  <c r="AC34" i="2"/>
  <c r="AB34" i="2"/>
  <c r="R34" i="2"/>
  <c r="B34" i="2"/>
  <c r="A34" i="2"/>
  <c r="AC33" i="2"/>
  <c r="AB33" i="2"/>
  <c r="R33" i="2"/>
  <c r="B33" i="2"/>
  <c r="A33" i="2"/>
  <c r="AC32" i="2"/>
  <c r="AB32" i="2"/>
  <c r="R32" i="2"/>
  <c r="B32" i="2"/>
  <c r="A32" i="2"/>
  <c r="AC31" i="2"/>
  <c r="AB31" i="2"/>
  <c r="R31" i="2"/>
  <c r="B31" i="2"/>
  <c r="A31" i="2"/>
  <c r="AC30" i="2"/>
  <c r="AB30" i="2"/>
  <c r="R30" i="2"/>
  <c r="B30" i="2"/>
  <c r="A30" i="2"/>
  <c r="AC29" i="2"/>
  <c r="AB29" i="2"/>
  <c r="R29" i="2"/>
  <c r="B29" i="2"/>
  <c r="A29" i="2"/>
  <c r="AC28" i="2"/>
  <c r="AB28" i="2"/>
  <c r="R28" i="2"/>
  <c r="B28" i="2"/>
  <c r="A28" i="2"/>
  <c r="AC27" i="2"/>
  <c r="AB27" i="2"/>
  <c r="R27" i="2"/>
  <c r="B27" i="2"/>
  <c r="A27" i="2"/>
  <c r="AC26" i="2"/>
  <c r="AB26" i="2"/>
  <c r="R26" i="2"/>
  <c r="B26" i="2"/>
  <c r="A26" i="2"/>
  <c r="AC25" i="2"/>
  <c r="AB25" i="2"/>
  <c r="R25" i="2"/>
  <c r="B25" i="2"/>
  <c r="A25" i="2"/>
  <c r="AC24" i="2"/>
  <c r="AB24" i="2"/>
  <c r="R24" i="2"/>
  <c r="B24" i="2"/>
  <c r="A24" i="2"/>
  <c r="AC23" i="2"/>
  <c r="AB23" i="2"/>
  <c r="R23" i="2"/>
  <c r="B23" i="2"/>
  <c r="A23" i="2"/>
  <c r="AC22" i="2"/>
  <c r="AB22" i="2"/>
  <c r="X22" i="2"/>
  <c r="R22" i="2"/>
  <c r="Q22" i="2"/>
  <c r="S22" i="2" s="1"/>
  <c r="B22" i="2"/>
  <c r="A22" i="2"/>
  <c r="AC21" i="2"/>
  <c r="AB21" i="2"/>
  <c r="X21" i="2"/>
  <c r="R21" i="2"/>
  <c r="Q21" i="2"/>
  <c r="S21" i="2" s="1"/>
  <c r="B21" i="2"/>
  <c r="A21" i="2"/>
  <c r="AC20" i="2"/>
  <c r="AB20" i="2"/>
  <c r="X20" i="2"/>
  <c r="R20" i="2"/>
  <c r="Q20" i="2"/>
  <c r="S20" i="2" s="1"/>
  <c r="B20" i="2"/>
  <c r="A20" i="2"/>
  <c r="AC19" i="2"/>
  <c r="AB19" i="2"/>
  <c r="X19" i="2"/>
  <c r="R19" i="2"/>
  <c r="Q19" i="2"/>
  <c r="S19" i="2" s="1"/>
  <c r="B19" i="2"/>
  <c r="A19" i="2"/>
  <c r="AN18" i="2" a="1"/>
  <c r="AN18" i="2" s="1"/>
  <c r="AC18" i="2"/>
  <c r="AB18" i="2"/>
  <c r="X18" i="2"/>
  <c r="R18" i="2"/>
  <c r="Q18" i="2"/>
  <c r="S18" i="2" s="1"/>
  <c r="B18" i="2"/>
  <c r="A18" i="2"/>
  <c r="AN17" i="2" a="1"/>
  <c r="AN17" i="2" s="1"/>
  <c r="AC17" i="2"/>
  <c r="AB17" i="2"/>
  <c r="X17" i="2"/>
  <c r="R17" i="2"/>
  <c r="Q17" i="2"/>
  <c r="S17" i="2" s="1"/>
  <c r="B17" i="2"/>
  <c r="A17" i="2"/>
  <c r="AN16" i="2" a="1"/>
  <c r="AN16" i="2" s="1"/>
  <c r="AC16" i="2"/>
  <c r="AB16" i="2"/>
  <c r="X16" i="2"/>
  <c r="R16" i="2"/>
  <c r="Q16" i="2"/>
  <c r="S16" i="2" s="1"/>
  <c r="B16" i="2"/>
  <c r="A16" i="2"/>
  <c r="AN15" i="2" a="1"/>
  <c r="AN15" i="2" s="1"/>
  <c r="AC15" i="2"/>
  <c r="AB15" i="2"/>
  <c r="X15" i="2"/>
  <c r="R15" i="2"/>
  <c r="Q15" i="2"/>
  <c r="S15" i="2" s="1"/>
  <c r="B15" i="2"/>
  <c r="A15" i="2"/>
  <c r="AN14" i="2" a="1"/>
  <c r="AN14" i="2" s="1"/>
  <c r="AC14" i="2"/>
  <c r="AB14" i="2"/>
  <c r="X14" i="2"/>
  <c r="R14" i="2"/>
  <c r="Q14" i="2"/>
  <c r="S14" i="2" s="1"/>
  <c r="B14" i="2"/>
  <c r="A14" i="2"/>
  <c r="AN13" i="2" a="1"/>
  <c r="AN13" i="2" s="1"/>
  <c r="AC13" i="2"/>
  <c r="AB13" i="2"/>
  <c r="X13" i="2"/>
  <c r="R13" i="2"/>
  <c r="Q13" i="2"/>
  <c r="S13" i="2" s="1"/>
  <c r="B13" i="2"/>
  <c r="A13" i="2"/>
  <c r="AN12" i="2" a="1"/>
  <c r="AN12" i="2" s="1"/>
  <c r="AC12" i="2"/>
  <c r="AB12" i="2"/>
  <c r="X12" i="2"/>
  <c r="R12" i="2"/>
  <c r="Q12" i="2"/>
  <c r="S12" i="2" s="1"/>
  <c r="B12" i="2"/>
  <c r="A12" i="2"/>
  <c r="AN11" i="2" a="1"/>
  <c r="AN11" i="2" s="1"/>
  <c r="AC11" i="2"/>
  <c r="AB11" i="2"/>
  <c r="X11" i="2"/>
  <c r="R11" i="2"/>
  <c r="Q11" i="2"/>
  <c r="S11" i="2" s="1"/>
  <c r="B11" i="2"/>
  <c r="A11" i="2"/>
  <c r="AN10" i="2" a="1"/>
  <c r="AN10" i="2" s="1"/>
  <c r="AC10" i="2"/>
  <c r="AB10" i="2"/>
  <c r="X10" i="2"/>
  <c r="R10" i="2"/>
  <c r="Q10" i="2"/>
  <c r="S10" i="2" s="1"/>
  <c r="B10" i="2"/>
  <c r="A10" i="2"/>
  <c r="AN9" i="2" a="1"/>
  <c r="AN9" i="2" s="1"/>
  <c r="AC9" i="2"/>
  <c r="AB9" i="2"/>
  <c r="X9" i="2"/>
  <c r="R9" i="2"/>
  <c r="Q9" i="2"/>
  <c r="S9" i="2" s="1"/>
  <c r="B9" i="2"/>
  <c r="A9" i="2"/>
  <c r="AN8" i="2" a="1"/>
  <c r="AN8" i="2" s="1"/>
  <c r="AC8" i="2"/>
  <c r="AB8" i="2"/>
  <c r="X8" i="2"/>
  <c r="R8" i="2"/>
  <c r="Q8" i="2"/>
  <c r="S8" i="2" s="1"/>
  <c r="B8" i="2"/>
  <c r="A8" i="2"/>
  <c r="AN7" i="2" a="1"/>
  <c r="AN7" i="2" s="1"/>
  <c r="AC7" i="2"/>
  <c r="AB7" i="2"/>
  <c r="X7" i="2"/>
  <c r="R7" i="2"/>
  <c r="Q7" i="2"/>
  <c r="S7" i="2" s="1"/>
  <c r="B7" i="2"/>
  <c r="A7" i="2"/>
  <c r="AN6" i="2" a="1"/>
  <c r="AN6" i="2" s="1"/>
  <c r="AC6" i="2"/>
  <c r="AB6" i="2"/>
  <c r="X6" i="2"/>
  <c r="R6" i="2"/>
  <c r="Q6" i="2"/>
  <c r="S6" i="2" s="1"/>
  <c r="B6" i="2"/>
  <c r="A6" i="2"/>
  <c r="AN5" i="2" a="1"/>
  <c r="AN5" i="2" s="1"/>
  <c r="AC5" i="2"/>
  <c r="AB5" i="2"/>
  <c r="X5" i="2"/>
  <c r="R5" i="2"/>
  <c r="Q5" i="2"/>
  <c r="S5" i="2" s="1"/>
  <c r="B5" i="2"/>
  <c r="A5" i="2"/>
  <c r="AN4" i="2" a="1"/>
  <c r="AN4" i="2" s="1"/>
  <c r="X4" i="2"/>
  <c r="R4" i="2"/>
  <c r="Q4" i="2"/>
  <c r="S4" i="2" s="1"/>
  <c r="N4" i="2"/>
  <c r="M4" i="2"/>
  <c r="V4" i="2" s="1"/>
  <c r="B4" i="2"/>
  <c r="A4" i="2"/>
  <c r="AC61" i="1"/>
  <c r="AB61" i="1"/>
  <c r="Q61" i="1"/>
  <c r="B61" i="1"/>
  <c r="A61" i="1"/>
  <c r="AC60" i="1"/>
  <c r="AB60" i="1"/>
  <c r="Q60" i="1"/>
  <c r="B60" i="1"/>
  <c r="A60" i="1"/>
  <c r="AC59" i="1"/>
  <c r="AB59" i="1"/>
  <c r="Q59" i="1"/>
  <c r="B59" i="1"/>
  <c r="A59" i="1"/>
  <c r="AC58" i="1"/>
  <c r="AB58" i="1"/>
  <c r="Q58" i="1"/>
  <c r="B58" i="1"/>
  <c r="A58" i="1"/>
  <c r="AC57" i="1"/>
  <c r="AB57" i="1"/>
  <c r="Q57" i="1"/>
  <c r="B57" i="1"/>
  <c r="A57" i="1"/>
  <c r="AC56" i="1"/>
  <c r="AB56" i="1"/>
  <c r="Q56" i="1"/>
  <c r="B56" i="1"/>
  <c r="A56" i="1"/>
  <c r="AC55" i="1"/>
  <c r="AB55" i="1"/>
  <c r="Q55" i="1"/>
  <c r="B55" i="1"/>
  <c r="A55" i="1"/>
  <c r="AC54" i="1"/>
  <c r="AB54" i="1"/>
  <c r="Q54" i="1"/>
  <c r="B54" i="1"/>
  <c r="A54" i="1"/>
  <c r="AC53" i="1"/>
  <c r="AB53" i="1"/>
  <c r="Q53" i="1"/>
  <c r="B53" i="1"/>
  <c r="A53" i="1"/>
  <c r="AC52" i="1"/>
  <c r="AB52" i="1"/>
  <c r="Q52" i="1"/>
  <c r="B52" i="1"/>
  <c r="A52" i="1"/>
  <c r="AC51" i="1"/>
  <c r="AB51" i="1"/>
  <c r="Q51" i="1"/>
  <c r="B51" i="1"/>
  <c r="A51" i="1"/>
  <c r="AC50" i="1"/>
  <c r="AB50" i="1"/>
  <c r="Q50" i="1"/>
  <c r="B50" i="1"/>
  <c r="A50" i="1"/>
  <c r="AC49" i="1"/>
  <c r="AB49" i="1"/>
  <c r="Q49" i="1"/>
  <c r="B49" i="1"/>
  <c r="A49" i="1"/>
  <c r="AC48" i="1"/>
  <c r="AB48" i="1"/>
  <c r="Q48" i="1"/>
  <c r="B48" i="1"/>
  <c r="A48" i="1"/>
  <c r="AC47" i="1"/>
  <c r="AB47" i="1"/>
  <c r="Q47" i="1"/>
  <c r="B47" i="1"/>
  <c r="A47" i="1"/>
  <c r="AC46" i="1"/>
  <c r="AB46" i="1"/>
  <c r="Q46" i="1"/>
  <c r="B46" i="1"/>
  <c r="A46" i="1"/>
  <c r="AC45" i="1"/>
  <c r="AB45" i="1"/>
  <c r="Q45" i="1"/>
  <c r="B45" i="1"/>
  <c r="A45" i="1"/>
  <c r="AC44" i="1"/>
  <c r="AB44" i="1"/>
  <c r="Q44" i="1"/>
  <c r="B44" i="1"/>
  <c r="A44" i="1"/>
  <c r="AC43" i="1"/>
  <c r="AB43" i="1"/>
  <c r="Q43" i="1"/>
  <c r="B43" i="1"/>
  <c r="A43" i="1"/>
  <c r="AC42" i="1"/>
  <c r="AB42" i="1"/>
  <c r="Q42" i="1"/>
  <c r="B42" i="1"/>
  <c r="A42" i="1"/>
  <c r="AC41" i="1"/>
  <c r="AB41" i="1"/>
  <c r="Q41" i="1"/>
  <c r="B41" i="1"/>
  <c r="A41" i="1"/>
  <c r="AC40" i="1"/>
  <c r="AB40" i="1"/>
  <c r="Q40" i="1"/>
  <c r="B40" i="1"/>
  <c r="A40" i="1"/>
  <c r="AC39" i="1"/>
  <c r="AB39" i="1"/>
  <c r="Q39" i="1"/>
  <c r="B39" i="1"/>
  <c r="A39" i="1"/>
  <c r="AC38" i="1"/>
  <c r="AB38" i="1"/>
  <c r="Q38" i="1"/>
  <c r="B38" i="1"/>
  <c r="A38" i="1"/>
  <c r="AC37" i="1"/>
  <c r="AB37" i="1"/>
  <c r="Q37" i="1"/>
  <c r="B37" i="1"/>
  <c r="A37" i="1"/>
  <c r="AC36" i="1"/>
  <c r="AB36" i="1"/>
  <c r="Q36" i="1"/>
  <c r="B36" i="1"/>
  <c r="A36" i="1"/>
  <c r="AC35" i="1"/>
  <c r="AB35" i="1"/>
  <c r="Q35" i="1"/>
  <c r="B35" i="1"/>
  <c r="A35" i="1"/>
  <c r="AC34" i="1"/>
  <c r="AB34" i="1"/>
  <c r="Q34" i="1"/>
  <c r="B34" i="1"/>
  <c r="A34" i="1"/>
  <c r="AC33" i="1"/>
  <c r="AB33" i="1"/>
  <c r="Q33" i="1"/>
  <c r="B33" i="1"/>
  <c r="A33" i="1"/>
  <c r="AC32" i="1"/>
  <c r="AB32" i="1"/>
  <c r="Q32" i="1"/>
  <c r="B32" i="1"/>
  <c r="A32" i="1"/>
  <c r="AC31" i="1"/>
  <c r="AB31" i="1"/>
  <c r="Q31" i="1"/>
  <c r="B31" i="1"/>
  <c r="A31" i="1"/>
  <c r="AC30" i="1"/>
  <c r="AB30" i="1"/>
  <c r="Q30" i="1"/>
  <c r="B30" i="1"/>
  <c r="A30" i="1"/>
  <c r="AC29" i="1"/>
  <c r="AB29" i="1"/>
  <c r="Q29" i="1"/>
  <c r="B29" i="1"/>
  <c r="A29" i="1"/>
  <c r="AC28" i="1"/>
  <c r="AB28" i="1"/>
  <c r="Q28" i="1"/>
  <c r="B28" i="1"/>
  <c r="A28" i="1"/>
  <c r="AC27" i="1"/>
  <c r="AB27" i="1"/>
  <c r="Q27" i="1"/>
  <c r="B27" i="1"/>
  <c r="A27" i="1"/>
  <c r="AC26" i="1"/>
  <c r="AB26" i="1"/>
  <c r="Q26" i="1"/>
  <c r="B26" i="1"/>
  <c r="A26" i="1"/>
  <c r="AC25" i="1"/>
  <c r="AB25" i="1"/>
  <c r="Q25" i="1"/>
  <c r="B25" i="1"/>
  <c r="A25" i="1"/>
  <c r="AC24" i="1"/>
  <c r="AB24" i="1"/>
  <c r="Q24" i="1"/>
  <c r="B24" i="1"/>
  <c r="A24" i="1"/>
  <c r="AC23" i="1"/>
  <c r="AB23" i="1"/>
  <c r="Q23" i="1"/>
  <c r="B23" i="1"/>
  <c r="A23" i="1"/>
  <c r="AC22" i="1"/>
  <c r="AB22" i="1"/>
  <c r="W22" i="1"/>
  <c r="AA22" i="1" s="1"/>
  <c r="Q22" i="1"/>
  <c r="P22" i="1"/>
  <c r="R22" i="1" s="1"/>
  <c r="B22" i="1"/>
  <c r="A22" i="1"/>
  <c r="AC21" i="1"/>
  <c r="AB21" i="1"/>
  <c r="W21" i="1"/>
  <c r="AA21" i="1" s="1"/>
  <c r="Q21" i="1"/>
  <c r="P21" i="1"/>
  <c r="R21" i="1" s="1"/>
  <c r="B21" i="1"/>
  <c r="A21" i="1"/>
  <c r="AC20" i="1"/>
  <c r="AB20" i="1"/>
  <c r="W20" i="1"/>
  <c r="AA20" i="1" s="1"/>
  <c r="Q20" i="1"/>
  <c r="P20" i="1"/>
  <c r="R20" i="1" s="1"/>
  <c r="B20" i="1"/>
  <c r="A20" i="1"/>
  <c r="AC19" i="1"/>
  <c r="AB19" i="1"/>
  <c r="W19" i="1"/>
  <c r="AA19" i="1" s="1"/>
  <c r="Q19" i="1"/>
  <c r="P19" i="1"/>
  <c r="R19" i="1" s="1"/>
  <c r="B19" i="1"/>
  <c r="A19" i="1"/>
  <c r="AC18" i="1"/>
  <c r="AB18" i="1"/>
  <c r="W18" i="1"/>
  <c r="AA18" i="1" s="1"/>
  <c r="Q18" i="1"/>
  <c r="P18" i="1"/>
  <c r="R18" i="1" s="1"/>
  <c r="B18" i="1"/>
  <c r="A18" i="1"/>
  <c r="AC17" i="1"/>
  <c r="AB17" i="1"/>
  <c r="W17" i="1"/>
  <c r="AA17" i="1" s="1"/>
  <c r="Q17" i="1"/>
  <c r="P17" i="1"/>
  <c r="R17" i="1" s="1"/>
  <c r="B17" i="1"/>
  <c r="A17" i="1"/>
  <c r="AC16" i="1"/>
  <c r="AB16" i="1"/>
  <c r="W16" i="1"/>
  <c r="AA16" i="1" s="1"/>
  <c r="Q16" i="1"/>
  <c r="P16" i="1"/>
  <c r="R16" i="1" s="1"/>
  <c r="B16" i="1"/>
  <c r="A16" i="1"/>
  <c r="AC15" i="1"/>
  <c r="AB15" i="1"/>
  <c r="W15" i="1"/>
  <c r="AA15" i="1" s="1"/>
  <c r="Q15" i="1"/>
  <c r="P15" i="1"/>
  <c r="R15" i="1" s="1"/>
  <c r="B15" i="1"/>
  <c r="A15" i="1"/>
  <c r="AC14" i="1"/>
  <c r="AB14" i="1"/>
  <c r="W14" i="1"/>
  <c r="AA14" i="1" s="1"/>
  <c r="Q14" i="1"/>
  <c r="P14" i="1"/>
  <c r="R14" i="1" s="1"/>
  <c r="B14" i="1"/>
  <c r="A14" i="1"/>
  <c r="AC13" i="1"/>
  <c r="AB13" i="1"/>
  <c r="W13" i="1"/>
  <c r="AA13" i="1" s="1"/>
  <c r="Q13" i="1"/>
  <c r="P13" i="1"/>
  <c r="R13" i="1" s="1"/>
  <c r="B13" i="1"/>
  <c r="A13" i="1"/>
  <c r="AC12" i="1"/>
  <c r="AB12" i="1"/>
  <c r="W12" i="1"/>
  <c r="AA12" i="1" s="1"/>
  <c r="Q12" i="1"/>
  <c r="P12" i="1"/>
  <c r="R12" i="1" s="1"/>
  <c r="B12" i="1"/>
  <c r="A12" i="1"/>
  <c r="AC11" i="1"/>
  <c r="AB11" i="1"/>
  <c r="W11" i="1"/>
  <c r="AA11" i="1" s="1"/>
  <c r="Q11" i="1"/>
  <c r="P11" i="1"/>
  <c r="R11" i="1" s="1"/>
  <c r="B11" i="1"/>
  <c r="A11" i="1"/>
  <c r="AC10" i="1"/>
  <c r="AB10" i="1"/>
  <c r="W10" i="1"/>
  <c r="AA10" i="1" s="1"/>
  <c r="Q10" i="1"/>
  <c r="P10" i="1"/>
  <c r="R10" i="1" s="1"/>
  <c r="B10" i="1"/>
  <c r="A10" i="1"/>
  <c r="AC9" i="1"/>
  <c r="AB9" i="1"/>
  <c r="W9" i="1"/>
  <c r="AA9" i="1" s="1"/>
  <c r="Q9" i="1"/>
  <c r="P9" i="1"/>
  <c r="R9" i="1" s="1"/>
  <c r="B9" i="1"/>
  <c r="A9" i="1"/>
  <c r="AC8" i="1"/>
  <c r="AB8" i="1"/>
  <c r="W8" i="1"/>
  <c r="AA8" i="1" s="1"/>
  <c r="Q8" i="1"/>
  <c r="P8" i="1"/>
  <c r="R8" i="1" s="1"/>
  <c r="B8" i="1"/>
  <c r="A8" i="1"/>
  <c r="AC7" i="1"/>
  <c r="AB7" i="1"/>
  <c r="W7" i="1"/>
  <c r="AA7" i="1" s="1"/>
  <c r="Q7" i="1"/>
  <c r="P7" i="1"/>
  <c r="R7" i="1" s="1"/>
  <c r="B7" i="1"/>
  <c r="A7" i="1"/>
  <c r="AC6" i="1"/>
  <c r="AB6" i="1"/>
  <c r="W6" i="1"/>
  <c r="AA6" i="1" s="1"/>
  <c r="Q6" i="1"/>
  <c r="P6" i="1"/>
  <c r="R6" i="1" s="1"/>
  <c r="B6" i="1"/>
  <c r="A6" i="1"/>
  <c r="AC5" i="1"/>
  <c r="AB5" i="1"/>
  <c r="W5" i="1"/>
  <c r="AA5" i="1" s="1"/>
  <c r="Q5" i="1"/>
  <c r="P5" i="1"/>
  <c r="R5" i="1" s="1"/>
  <c r="B5" i="1"/>
  <c r="A5" i="1"/>
  <c r="W4" i="1"/>
  <c r="AA4" i="1" s="1"/>
  <c r="Q4" i="1"/>
  <c r="P4" i="1"/>
  <c r="R4" i="1" s="1"/>
  <c r="M4" i="1"/>
  <c r="B4" i="1"/>
  <c r="A4" i="1"/>
  <c r="S43" i="12" l="1"/>
  <c r="S35" i="12"/>
  <c r="S29" i="12"/>
  <c r="S22" i="12"/>
  <c r="T43" i="12"/>
  <c r="W7" i="17"/>
  <c r="X7" i="17" s="1"/>
  <c r="Y7" i="17" s="1"/>
  <c r="T7" i="17"/>
  <c r="Z7" i="17" s="1"/>
  <c r="S7" i="17"/>
  <c r="N32" i="13"/>
  <c r="M32" i="13" s="1"/>
  <c r="L32" i="13" s="1"/>
  <c r="P32" i="13" s="1"/>
  <c r="M45" i="10"/>
  <c r="B45" i="10"/>
  <c r="K45" i="10" s="1"/>
  <c r="L45" i="10"/>
  <c r="N45" i="10"/>
  <c r="O45" i="10" s="1"/>
  <c r="H41" i="10" a="1"/>
  <c r="H41" i="10" s="1"/>
  <c r="B40" i="10"/>
  <c r="R45" i="9"/>
  <c r="O45" i="9"/>
  <c r="Q45" i="9" s="1"/>
  <c r="P45" i="9" s="1"/>
  <c r="S45" i="9" s="1"/>
  <c r="X46" i="5"/>
  <c r="W46" i="5"/>
  <c r="V46" i="5"/>
  <c r="U46" i="5"/>
  <c r="J46" i="5"/>
  <c r="S26" i="6" a="1"/>
  <c r="S26" i="6" s="1"/>
  <c r="R26" i="6" a="1"/>
  <c r="R26" i="6" s="1"/>
  <c r="P26" i="6" a="1"/>
  <c r="P26" i="6" s="1"/>
  <c r="M26" i="6" a="1"/>
  <c r="M26" i="6" s="1"/>
  <c r="L26" i="6" a="1"/>
  <c r="L26" i="6" s="1"/>
  <c r="I26" i="6"/>
  <c r="J26" i="6" s="1" a="1"/>
  <c r="J26" i="6" s="1"/>
  <c r="K26" i="6" s="1"/>
  <c r="K7" i="6"/>
  <c r="R27" i="14"/>
  <c r="K5" i="6"/>
  <c r="Q5" i="6" s="1"/>
  <c r="U5" i="6" s="1"/>
  <c r="K4" i="6"/>
  <c r="K3" i="6"/>
  <c r="K6" i="6"/>
  <c r="Q6" i="6" s="1"/>
  <c r="U6" i="6" s="1"/>
  <c r="K9" i="6"/>
  <c r="K8" i="6"/>
  <c r="Q8" i="6" s="1"/>
  <c r="U8" i="6" s="1"/>
  <c r="K15" i="6"/>
  <c r="K13" i="6"/>
  <c r="K11" i="6"/>
  <c r="K10" i="6"/>
  <c r="Q10" i="6" s="1"/>
  <c r="U10" i="6" s="1"/>
  <c r="K40" i="10"/>
  <c r="K24" i="6"/>
  <c r="N23" i="6"/>
  <c r="K23" i="6"/>
  <c r="K20" i="6"/>
  <c r="K22" i="6"/>
  <c r="K21" i="6"/>
  <c r="K19" i="6"/>
  <c r="K18" i="6"/>
  <c r="K17" i="6"/>
  <c r="K16" i="6"/>
  <c r="K14" i="6"/>
  <c r="K12" i="6"/>
  <c r="N6" i="6"/>
  <c r="N5" i="6"/>
  <c r="N4" i="6"/>
  <c r="B43" i="10"/>
  <c r="K43" i="10" s="1"/>
  <c r="M43" i="10"/>
  <c r="B42" i="10"/>
  <c r="K42" i="10" s="1"/>
  <c r="M42" i="10"/>
  <c r="B39" i="10"/>
  <c r="K39" i="10" s="1"/>
  <c r="M39" i="10"/>
  <c r="B38" i="10"/>
  <c r="K38" i="10" s="1"/>
  <c r="M38" i="10"/>
  <c r="N25" i="6"/>
  <c r="N24" i="6"/>
  <c r="T6" i="17"/>
  <c r="Z6" i="17" s="1"/>
  <c r="W6" i="17"/>
  <c r="X6" i="17" s="1"/>
  <c r="Y6" i="17" s="1"/>
  <c r="S6" i="17"/>
  <c r="S5" i="17"/>
  <c r="T5" i="17"/>
  <c r="Z5" i="17" s="1"/>
  <c r="W5" i="17"/>
  <c r="X5" i="17" s="1"/>
  <c r="Y5" i="17" s="1"/>
  <c r="W4" i="17"/>
  <c r="X4" i="17" s="1"/>
  <c r="Y4" i="17" s="1"/>
  <c r="S4" i="17"/>
  <c r="T4" i="17"/>
  <c r="Z4" i="17" s="1"/>
  <c r="T3" i="17"/>
  <c r="Z3" i="17" s="1"/>
  <c r="W3" i="17"/>
  <c r="X3" i="17" s="1"/>
  <c r="Y3" i="17" s="1"/>
  <c r="S3" i="17"/>
  <c r="W2" i="17"/>
  <c r="X2" i="17" s="1"/>
  <c r="Y2" i="17" s="1"/>
  <c r="T2" i="17"/>
  <c r="Z2" i="17" s="1"/>
  <c r="S2" i="17"/>
  <c r="T14" i="16"/>
  <c r="Z14" i="16" s="1"/>
  <c r="S14" i="16"/>
  <c r="W14" i="16"/>
  <c r="X14" i="16" s="1"/>
  <c r="Y14" i="16" s="1"/>
  <c r="T13" i="16"/>
  <c r="Z13" i="16" s="1"/>
  <c r="S13" i="16"/>
  <c r="W13" i="16"/>
  <c r="X13" i="16" s="1"/>
  <c r="Y13" i="16" s="1"/>
  <c r="W12" i="16"/>
  <c r="X12" i="16" s="1"/>
  <c r="Y12" i="16" s="1"/>
  <c r="T12" i="16"/>
  <c r="Z12" i="16" s="1"/>
  <c r="S12" i="16"/>
  <c r="W11" i="16"/>
  <c r="X11" i="16" s="1"/>
  <c r="Y11" i="16" s="1"/>
  <c r="S11" i="16"/>
  <c r="T11" i="16"/>
  <c r="Z11" i="16" s="1"/>
  <c r="W10" i="16"/>
  <c r="X10" i="16" s="1"/>
  <c r="Y10" i="16" s="1"/>
  <c r="T10" i="16"/>
  <c r="Z10" i="16" s="1"/>
  <c r="S10" i="16"/>
  <c r="W9" i="16"/>
  <c r="X9" i="16" s="1"/>
  <c r="Y9" i="16" s="1"/>
  <c r="T9" i="16"/>
  <c r="Z9" i="16" s="1"/>
  <c r="S9" i="16"/>
  <c r="W8" i="16"/>
  <c r="X8" i="16" s="1"/>
  <c r="Y8" i="16" s="1"/>
  <c r="S8" i="16"/>
  <c r="T8" i="16"/>
  <c r="Z8" i="16" s="1"/>
  <c r="S7" i="16"/>
  <c r="W7" i="16"/>
  <c r="T7" i="16"/>
  <c r="Z7" i="16" s="1"/>
  <c r="J7" i="16"/>
  <c r="R7" i="16" s="1"/>
  <c r="U7" i="16"/>
  <c r="X7" i="16" s="1"/>
  <c r="Y7" i="16" s="1"/>
  <c r="S6" i="16"/>
  <c r="T6" i="16"/>
  <c r="Z6" i="16" s="1"/>
  <c r="W6" i="16"/>
  <c r="X6" i="16" s="1"/>
  <c r="Y6" i="16" s="1"/>
  <c r="S5" i="16"/>
  <c r="W5" i="16"/>
  <c r="X5" i="16" s="1"/>
  <c r="Y5" i="16" s="1"/>
  <c r="T5" i="16"/>
  <c r="Z5" i="16" s="1"/>
  <c r="S4" i="16"/>
  <c r="W4" i="16"/>
  <c r="X4" i="16" s="1"/>
  <c r="Y4" i="16" s="1"/>
  <c r="T4" i="16"/>
  <c r="Z4" i="16" s="1"/>
  <c r="V3" i="16"/>
  <c r="X3" i="16" s="1"/>
  <c r="Y3" i="16" s="1"/>
  <c r="T3" i="16"/>
  <c r="Z3" i="16" s="1"/>
  <c r="S3" i="16"/>
  <c r="V2" i="16"/>
  <c r="X2" i="16" s="1"/>
  <c r="Y2" i="16" s="1"/>
  <c r="T2" i="16"/>
  <c r="Z2" i="16" s="1"/>
  <c r="S2" i="16"/>
  <c r="U14" i="15"/>
  <c r="R14" i="15"/>
  <c r="Q14" i="15"/>
  <c r="Q13" i="15"/>
  <c r="U13" i="15"/>
  <c r="R13" i="15"/>
  <c r="U12" i="15"/>
  <c r="R12" i="15"/>
  <c r="Q12" i="15"/>
  <c r="R11" i="15"/>
  <c r="U11" i="15"/>
  <c r="Q10" i="15"/>
  <c r="R10" i="15"/>
  <c r="U10" i="15"/>
  <c r="U9" i="15"/>
  <c r="R9" i="15"/>
  <c r="Q9" i="15"/>
  <c r="R8" i="15"/>
  <c r="Q8" i="15"/>
  <c r="U8" i="15"/>
  <c r="Q7" i="15"/>
  <c r="R7" i="15"/>
  <c r="X7" i="15" s="1"/>
  <c r="U7" i="15"/>
  <c r="S7" i="15"/>
  <c r="H7" i="15"/>
  <c r="P7" i="15" s="1"/>
  <c r="V7" i="15" s="1"/>
  <c r="W7" i="15" s="1"/>
  <c r="Q6" i="15"/>
  <c r="R6" i="15"/>
  <c r="U6" i="15"/>
  <c r="Q5" i="15"/>
  <c r="R5" i="15"/>
  <c r="U5" i="15"/>
  <c r="U4" i="15"/>
  <c r="R4" i="15"/>
  <c r="Q4" i="15"/>
  <c r="Q3" i="15"/>
  <c r="T3" i="15"/>
  <c r="R3" i="15"/>
  <c r="Q2" i="15"/>
  <c r="R2" i="15"/>
  <c r="T2" i="15"/>
  <c r="N26" i="14"/>
  <c r="M26" i="14" s="1"/>
  <c r="L26" i="14" s="1"/>
  <c r="R26" i="14"/>
  <c r="N25" i="14"/>
  <c r="M25" i="14" s="1"/>
  <c r="L25" i="14" s="1"/>
  <c r="R25" i="14"/>
  <c r="N24" i="14"/>
  <c r="M24" i="14" s="1"/>
  <c r="L24" i="14" s="1"/>
  <c r="R24" i="14"/>
  <c r="N23" i="14"/>
  <c r="M23" i="14" s="1"/>
  <c r="L23" i="14" s="1"/>
  <c r="R23" i="14"/>
  <c r="N22" i="14"/>
  <c r="M22" i="14" s="1"/>
  <c r="L22" i="14" s="1"/>
  <c r="R22" i="14"/>
  <c r="N21" i="14"/>
  <c r="M21" i="14" s="1"/>
  <c r="L21" i="14" s="1"/>
  <c r="R21" i="14"/>
  <c r="N20" i="14"/>
  <c r="M20" i="14" s="1"/>
  <c r="L20" i="14" s="1"/>
  <c r="R20" i="14"/>
  <c r="N19" i="14"/>
  <c r="M19" i="14" s="1"/>
  <c r="L19" i="14" s="1"/>
  <c r="R19" i="14"/>
  <c r="N18" i="14"/>
  <c r="M18" i="14" s="1"/>
  <c r="L18" i="14" s="1"/>
  <c r="R18" i="14"/>
  <c r="N17" i="14"/>
  <c r="M17" i="14" s="1"/>
  <c r="L17" i="14" s="1"/>
  <c r="R17" i="14"/>
  <c r="N16" i="14"/>
  <c r="M16" i="14" s="1"/>
  <c r="L16" i="14" s="1"/>
  <c r="R16" i="14"/>
  <c r="N15" i="14"/>
  <c r="M15" i="14" s="1"/>
  <c r="L15" i="14" s="1"/>
  <c r="R15" i="14"/>
  <c r="N14" i="14"/>
  <c r="M14" i="14" s="1"/>
  <c r="L14" i="14" s="1"/>
  <c r="R14" i="14"/>
  <c r="N13" i="14"/>
  <c r="M13" i="14" s="1"/>
  <c r="L13" i="14" s="1"/>
  <c r="R13" i="14"/>
  <c r="N12" i="14"/>
  <c r="M12" i="14" s="1"/>
  <c r="L12" i="14" s="1"/>
  <c r="R12" i="14"/>
  <c r="N11" i="14"/>
  <c r="M11" i="14" s="1"/>
  <c r="L11" i="14" s="1"/>
  <c r="R11" i="14"/>
  <c r="N10" i="14"/>
  <c r="M10" i="14" s="1"/>
  <c r="L10" i="14" s="1"/>
  <c r="R10" i="14"/>
  <c r="N9" i="14"/>
  <c r="M9" i="14" s="1"/>
  <c r="L9" i="14" s="1"/>
  <c r="R9" i="14"/>
  <c r="N8" i="14"/>
  <c r="M8" i="14" s="1"/>
  <c r="L8" i="14" s="1"/>
  <c r="R8" i="14"/>
  <c r="N7" i="14"/>
  <c r="M7" i="14" s="1"/>
  <c r="L7" i="14" s="1"/>
  <c r="R7" i="14"/>
  <c r="L6" i="14"/>
  <c r="N6" i="14"/>
  <c r="M6" i="14" s="1"/>
  <c r="R6" i="14"/>
  <c r="L5" i="14"/>
  <c r="N5" i="14"/>
  <c r="M5" i="14" s="1"/>
  <c r="R5" i="14"/>
  <c r="L4" i="14"/>
  <c r="N4" i="14"/>
  <c r="M4" i="14" s="1"/>
  <c r="R4" i="14"/>
  <c r="R3" i="14"/>
  <c r="P3" i="14"/>
  <c r="J3" i="14"/>
  <c r="O3" i="14"/>
  <c r="O2" i="14"/>
  <c r="P2" i="14"/>
  <c r="N2" i="14"/>
  <c r="M2" i="14" s="1"/>
  <c r="R2" i="14"/>
  <c r="N31" i="13"/>
  <c r="M31" i="13" s="1"/>
  <c r="L31" i="13" s="1"/>
  <c r="P31" i="13" s="1"/>
  <c r="N30" i="13"/>
  <c r="M30" i="13" s="1"/>
  <c r="L30" i="13" s="1"/>
  <c r="P30" i="13" s="1"/>
  <c r="N29" i="13"/>
  <c r="M29" i="13" s="1"/>
  <c r="L29" i="13" s="1"/>
  <c r="P29" i="13" s="1"/>
  <c r="N28" i="13"/>
  <c r="M28" i="13" s="1"/>
  <c r="L28" i="13" s="1"/>
  <c r="P28" i="13" s="1"/>
  <c r="N27" i="13"/>
  <c r="M27" i="13" s="1"/>
  <c r="L27" i="13" s="1"/>
  <c r="P27" i="13" s="1"/>
  <c r="L26" i="13"/>
  <c r="P26" i="13" s="1"/>
  <c r="N26" i="13"/>
  <c r="M26" i="13" s="1"/>
  <c r="N25" i="13"/>
  <c r="M25" i="13" s="1"/>
  <c r="L25" i="13" s="1"/>
  <c r="P25" i="13" s="1"/>
  <c r="N24" i="13"/>
  <c r="M24" i="13" s="1"/>
  <c r="L24" i="13" s="1"/>
  <c r="P24" i="13" s="1"/>
  <c r="N23" i="13"/>
  <c r="M23" i="13" s="1"/>
  <c r="L23" i="13" s="1"/>
  <c r="P23" i="13" s="1"/>
  <c r="N22" i="13"/>
  <c r="M22" i="13" s="1"/>
  <c r="L22" i="13" s="1"/>
  <c r="P22" i="13" s="1"/>
  <c r="N21" i="13"/>
  <c r="M21" i="13" s="1"/>
  <c r="L21" i="13" s="1"/>
  <c r="P21" i="13" s="1"/>
  <c r="N20" i="13"/>
  <c r="M20" i="13" s="1"/>
  <c r="L20" i="13" s="1"/>
  <c r="P20" i="13" s="1"/>
  <c r="N19" i="13"/>
  <c r="M19" i="13" s="1"/>
  <c r="L19" i="13" s="1"/>
  <c r="P19" i="13" s="1"/>
  <c r="N18" i="13"/>
  <c r="M18" i="13" s="1"/>
  <c r="L18" i="13" s="1"/>
  <c r="P18" i="13" s="1"/>
  <c r="N17" i="13"/>
  <c r="M17" i="13" s="1"/>
  <c r="L17" i="13" s="1"/>
  <c r="P17" i="13" s="1"/>
  <c r="N16" i="13"/>
  <c r="M16" i="13" s="1"/>
  <c r="L16" i="13" s="1"/>
  <c r="P16" i="13" s="1"/>
  <c r="N15" i="13"/>
  <c r="M15" i="13" s="1"/>
  <c r="L15" i="13" s="1"/>
  <c r="P15" i="13" s="1"/>
  <c r="N14" i="13"/>
  <c r="M14" i="13" s="1"/>
  <c r="L14" i="13" s="1"/>
  <c r="P14" i="13" s="1"/>
  <c r="N13" i="13"/>
  <c r="M13" i="13" s="1"/>
  <c r="L13" i="13" s="1"/>
  <c r="P13" i="13" s="1"/>
  <c r="N12" i="13"/>
  <c r="M12" i="13" s="1"/>
  <c r="L12" i="13" s="1"/>
  <c r="P12" i="13" s="1"/>
  <c r="N11" i="13"/>
  <c r="M11" i="13" s="1"/>
  <c r="L11" i="13" s="1"/>
  <c r="P11" i="13" s="1"/>
  <c r="L10" i="13"/>
  <c r="P10" i="13" s="1"/>
  <c r="N10" i="13"/>
  <c r="M10" i="13" s="1"/>
  <c r="L9" i="13"/>
  <c r="P9" i="13" s="1"/>
  <c r="N9" i="13"/>
  <c r="M9" i="13" s="1"/>
  <c r="L8" i="13"/>
  <c r="P8" i="13" s="1"/>
  <c r="N8" i="13"/>
  <c r="M8" i="13" s="1"/>
  <c r="N6" i="13"/>
  <c r="M6" i="13" s="1"/>
  <c r="L6" i="13"/>
  <c r="P6" i="13" s="1"/>
  <c r="L5" i="13"/>
  <c r="P5" i="13" s="1"/>
  <c r="N5" i="13"/>
  <c r="M5" i="13" s="1"/>
  <c r="N4" i="13"/>
  <c r="M4" i="13" s="1"/>
  <c r="L4" i="13"/>
  <c r="P4" i="13" s="1"/>
  <c r="L3" i="13"/>
  <c r="P3" i="13" s="1"/>
  <c r="N3" i="13"/>
  <c r="M3" i="13" s="1"/>
  <c r="N2" i="13"/>
  <c r="M2" i="13" s="1"/>
  <c r="L2" i="13"/>
  <c r="P2" i="13" s="1"/>
  <c r="R42" i="12"/>
  <c r="Q42" i="12" s="1"/>
  <c r="P42" i="12" s="1"/>
  <c r="R41" i="12"/>
  <c r="Q41" i="12" s="1"/>
  <c r="P41" i="12" s="1"/>
  <c r="R40" i="12"/>
  <c r="Q40" i="12" s="1"/>
  <c r="P40" i="12" s="1"/>
  <c r="T40" i="12" s="1"/>
  <c r="R39" i="12"/>
  <c r="Q39" i="12" s="1"/>
  <c r="P39" i="12" s="1"/>
  <c r="T39" i="12" s="1"/>
  <c r="R38" i="12"/>
  <c r="Q38" i="12" s="1"/>
  <c r="P38" i="12" s="1"/>
  <c r="T38" i="12" s="1"/>
  <c r="R37" i="12"/>
  <c r="Q37" i="12" s="1"/>
  <c r="P37" i="12" s="1"/>
  <c r="T37" i="12" s="1"/>
  <c r="R36" i="12"/>
  <c r="Q36" i="12" s="1"/>
  <c r="P36" i="12" s="1"/>
  <c r="T36" i="12" s="1"/>
  <c r="R35" i="12"/>
  <c r="Q35" i="12" s="1"/>
  <c r="P35" i="12" s="1"/>
  <c r="T35" i="12" s="1"/>
  <c r="R34" i="12"/>
  <c r="Q34" i="12" s="1"/>
  <c r="P34" i="12" s="1"/>
  <c r="T34" i="12" s="1"/>
  <c r="R33" i="12"/>
  <c r="Q33" i="12" s="1"/>
  <c r="P33" i="12" s="1"/>
  <c r="T33" i="12" s="1"/>
  <c r="R32" i="12"/>
  <c r="Q32" i="12" s="1"/>
  <c r="P32" i="12" s="1"/>
  <c r="T32" i="12" s="1"/>
  <c r="R31" i="12"/>
  <c r="Q31" i="12" s="1"/>
  <c r="P31" i="12" s="1"/>
  <c r="T31" i="12" s="1"/>
  <c r="R30" i="12"/>
  <c r="Q30" i="12" s="1"/>
  <c r="P30" i="12" s="1"/>
  <c r="T30" i="12" s="1"/>
  <c r="R29" i="12"/>
  <c r="Q29" i="12" s="1"/>
  <c r="P29" i="12" s="1"/>
  <c r="T29" i="12" s="1"/>
  <c r="R28" i="12"/>
  <c r="Q28" i="12" s="1"/>
  <c r="P28" i="12" s="1"/>
  <c r="T28" i="12" s="1"/>
  <c r="R27" i="12"/>
  <c r="Q27" i="12" s="1"/>
  <c r="P27" i="12" s="1"/>
  <c r="T27" i="12" s="1"/>
  <c r="R26" i="12"/>
  <c r="Q26" i="12" s="1"/>
  <c r="P26" i="12" s="1"/>
  <c r="T26" i="12" s="1"/>
  <c r="R25" i="12"/>
  <c r="Q25" i="12" s="1"/>
  <c r="P25" i="12" s="1"/>
  <c r="T25" i="12" s="1"/>
  <c r="R24" i="12"/>
  <c r="Q24" i="12" s="1"/>
  <c r="P24" i="12" s="1"/>
  <c r="T24" i="12" s="1"/>
  <c r="R23" i="12"/>
  <c r="Q23" i="12" s="1"/>
  <c r="P23" i="12" s="1"/>
  <c r="R22" i="12"/>
  <c r="Q22" i="12" s="1"/>
  <c r="P22" i="12" s="1"/>
  <c r="P21" i="12"/>
  <c r="R21" i="12"/>
  <c r="Q21" i="12" s="1"/>
  <c r="P20" i="12"/>
  <c r="R20" i="12"/>
  <c r="Q20" i="12" s="1"/>
  <c r="P19" i="12"/>
  <c r="R19" i="12"/>
  <c r="Q19" i="12" s="1"/>
  <c r="P17" i="12"/>
  <c r="R17" i="12"/>
  <c r="Q17" i="12" s="1"/>
  <c r="R16" i="12"/>
  <c r="Q16" i="12" s="1"/>
  <c r="P16" i="12"/>
  <c r="R15" i="12"/>
  <c r="Q15" i="12" s="1"/>
  <c r="P15" i="12"/>
  <c r="R14" i="12"/>
  <c r="Q14" i="12" s="1"/>
  <c r="P14" i="12"/>
  <c r="R13" i="12"/>
  <c r="Q13" i="12" s="1"/>
  <c r="P13" i="12"/>
  <c r="R12" i="12"/>
  <c r="Q12" i="12" s="1"/>
  <c r="P12" i="12"/>
  <c r="D33" i="1" s="1"/>
  <c r="R11" i="12"/>
  <c r="Q11" i="12" s="1"/>
  <c r="P11" i="12"/>
  <c r="T11" i="12" s="1"/>
  <c r="R10" i="12"/>
  <c r="Q10" i="12" s="1"/>
  <c r="P10" i="12"/>
  <c r="T10" i="12" s="1"/>
  <c r="R9" i="12"/>
  <c r="Q9" i="12" s="1"/>
  <c r="P9" i="12"/>
  <c r="T9" i="12" s="1"/>
  <c r="R8" i="12"/>
  <c r="Q8" i="12" s="1"/>
  <c r="P8" i="12"/>
  <c r="T8" i="12" s="1"/>
  <c r="R7" i="12"/>
  <c r="Q7" i="12" s="1"/>
  <c r="P7" i="12"/>
  <c r="T7" i="12" s="1"/>
  <c r="R6" i="12"/>
  <c r="Q6" i="12" s="1"/>
  <c r="P6" i="12"/>
  <c r="T6" i="12" s="1"/>
  <c r="R5" i="12"/>
  <c r="Q5" i="12" s="1"/>
  <c r="P5" i="12"/>
  <c r="T5" i="12" s="1"/>
  <c r="R4" i="12"/>
  <c r="Q4" i="12" s="1"/>
  <c r="P4" i="12"/>
  <c r="T4" i="12" s="1"/>
  <c r="P3" i="12"/>
  <c r="T3" i="12" s="1"/>
  <c r="R3" i="12"/>
  <c r="Q3" i="12" s="1"/>
  <c r="R2" i="12"/>
  <c r="Q2" i="12" s="1"/>
  <c r="P2" i="12"/>
  <c r="T2" i="12" s="1"/>
  <c r="L32" i="11"/>
  <c r="P32" i="11" s="1"/>
  <c r="Q32" i="11" s="1"/>
  <c r="N32" i="11"/>
  <c r="M32" i="11" s="1"/>
  <c r="L31" i="11"/>
  <c r="P31" i="11" s="1"/>
  <c r="Q31" i="11" s="1"/>
  <c r="N31" i="11"/>
  <c r="M31" i="11" s="1"/>
  <c r="L30" i="11"/>
  <c r="P30" i="11" s="1"/>
  <c r="Q30" i="11" s="1"/>
  <c r="N30" i="11"/>
  <c r="M30" i="11" s="1"/>
  <c r="L29" i="11"/>
  <c r="P29" i="11" s="1"/>
  <c r="Q29" i="11" s="1"/>
  <c r="N29" i="11"/>
  <c r="M29" i="11" s="1"/>
  <c r="L28" i="11"/>
  <c r="P28" i="11" s="1"/>
  <c r="Q28" i="11" s="1"/>
  <c r="N28" i="11"/>
  <c r="M28" i="11" s="1"/>
  <c r="L27" i="11"/>
  <c r="P27" i="11" s="1"/>
  <c r="Q27" i="11" s="1"/>
  <c r="N27" i="11"/>
  <c r="M27" i="11" s="1"/>
  <c r="L26" i="11"/>
  <c r="P26" i="11" s="1"/>
  <c r="Q26" i="11" s="1"/>
  <c r="N26" i="11"/>
  <c r="M26" i="11" s="1"/>
  <c r="L25" i="11"/>
  <c r="P25" i="11" s="1"/>
  <c r="Q25" i="11" s="1"/>
  <c r="N25" i="11"/>
  <c r="M25" i="11" s="1"/>
  <c r="L24" i="11"/>
  <c r="P24" i="11" s="1"/>
  <c r="Q24" i="11" s="1"/>
  <c r="N24" i="11"/>
  <c r="M24" i="11" s="1"/>
  <c r="L23" i="11"/>
  <c r="P23" i="11" s="1"/>
  <c r="Q23" i="11" s="1"/>
  <c r="N23" i="11"/>
  <c r="M23" i="11" s="1"/>
  <c r="L22" i="11"/>
  <c r="P22" i="11" s="1"/>
  <c r="Q22" i="11" s="1"/>
  <c r="N22" i="11"/>
  <c r="M22" i="11" s="1"/>
  <c r="L21" i="11"/>
  <c r="P21" i="11" s="1"/>
  <c r="Q21" i="11" s="1"/>
  <c r="N21" i="11"/>
  <c r="M21" i="11" s="1"/>
  <c r="L20" i="11"/>
  <c r="P20" i="11" s="1"/>
  <c r="Q20" i="11" s="1"/>
  <c r="N20" i="11"/>
  <c r="M20" i="11" s="1"/>
  <c r="L19" i="11"/>
  <c r="P19" i="11" s="1"/>
  <c r="Q19" i="11" s="1"/>
  <c r="N19" i="11"/>
  <c r="M19" i="11" s="1"/>
  <c r="L18" i="11"/>
  <c r="P18" i="11" s="1"/>
  <c r="Q18" i="11" s="1"/>
  <c r="N18" i="11"/>
  <c r="M18" i="11" s="1"/>
  <c r="N17" i="11"/>
  <c r="M17" i="11" s="1"/>
  <c r="L17" i="11"/>
  <c r="P17" i="11" s="1"/>
  <c r="Q17" i="11" s="1"/>
  <c r="N16" i="11"/>
  <c r="M16" i="11" s="1"/>
  <c r="L16" i="11"/>
  <c r="P16" i="11" s="1"/>
  <c r="Q16" i="11" s="1"/>
  <c r="N15" i="11"/>
  <c r="M15" i="11" s="1"/>
  <c r="L15" i="11"/>
  <c r="P15" i="11" s="1"/>
  <c r="Q15" i="11" s="1"/>
  <c r="L14" i="11"/>
  <c r="P14" i="11" s="1"/>
  <c r="Q14" i="11" s="1"/>
  <c r="N14" i="11"/>
  <c r="M14" i="11" s="1"/>
  <c r="N13" i="11"/>
  <c r="M13" i="11" s="1"/>
  <c r="L13" i="11"/>
  <c r="P13" i="11" s="1"/>
  <c r="Q13" i="11" s="1"/>
  <c r="N12" i="11"/>
  <c r="M12" i="11" s="1"/>
  <c r="L12" i="11"/>
  <c r="P12" i="11" s="1"/>
  <c r="Q12" i="11" s="1"/>
  <c r="L11" i="11"/>
  <c r="P11" i="11" s="1"/>
  <c r="Q11" i="11" s="1"/>
  <c r="N11" i="11"/>
  <c r="M11" i="11" s="1"/>
  <c r="N10" i="11"/>
  <c r="M10" i="11" s="1"/>
  <c r="L10" i="11"/>
  <c r="P10" i="11" s="1"/>
  <c r="Q10" i="11" s="1"/>
  <c r="L9" i="11"/>
  <c r="P9" i="11" s="1"/>
  <c r="Q9" i="11" s="1"/>
  <c r="N9" i="11"/>
  <c r="M9" i="11" s="1"/>
  <c r="N8" i="11"/>
  <c r="M8" i="11" s="1"/>
  <c r="L8" i="11"/>
  <c r="P8" i="11" s="1"/>
  <c r="Q8" i="11" s="1"/>
  <c r="N7" i="11"/>
  <c r="M7" i="11" s="1"/>
  <c r="L7" i="11"/>
  <c r="P7" i="11" s="1"/>
  <c r="Q7" i="11" s="1"/>
  <c r="L6" i="11"/>
  <c r="P6" i="11" s="1"/>
  <c r="Q6" i="11" s="1"/>
  <c r="N6" i="11"/>
  <c r="M6" i="11" s="1"/>
  <c r="N5" i="11"/>
  <c r="M5" i="11" s="1"/>
  <c r="L5" i="11"/>
  <c r="P5" i="11" s="1"/>
  <c r="Q5" i="11" s="1"/>
  <c r="N4" i="11"/>
  <c r="M4" i="11" s="1"/>
  <c r="L4" i="11"/>
  <c r="P4" i="11" s="1"/>
  <c r="Q4" i="11" s="1"/>
  <c r="N3" i="11"/>
  <c r="M3" i="11" s="1"/>
  <c r="L3" i="11"/>
  <c r="P3" i="11" s="1"/>
  <c r="Q3" i="11" s="1"/>
  <c r="N2" i="11"/>
  <c r="M2" i="11" s="1"/>
  <c r="L2" i="11"/>
  <c r="P2" i="11" s="1"/>
  <c r="Q2" i="11" s="1"/>
  <c r="M40" i="10"/>
  <c r="M37" i="10"/>
  <c r="F37" i="10"/>
  <c r="K37" i="10" s="1"/>
  <c r="M36" i="10"/>
  <c r="B36" i="10"/>
  <c r="K36" i="10" s="1"/>
  <c r="L36" i="10" s="1"/>
  <c r="M35" i="10"/>
  <c r="B35" i="10"/>
  <c r="K35" i="10" s="1"/>
  <c r="L35" i="10" s="1"/>
  <c r="B34" i="10"/>
  <c r="K34" i="10" s="1"/>
  <c r="L34" i="10" s="1"/>
  <c r="M34" i="10"/>
  <c r="M33" i="10"/>
  <c r="B33" i="10"/>
  <c r="K33" i="10" s="1"/>
  <c r="L33" i="10" s="1"/>
  <c r="B32" i="10"/>
  <c r="K32" i="10" s="1"/>
  <c r="L32" i="10" s="1"/>
  <c r="M32" i="10"/>
  <c r="F31" i="10"/>
  <c r="K31" i="10" s="1"/>
  <c r="M31" i="10"/>
  <c r="B26" i="10"/>
  <c r="K26" i="10" s="1"/>
  <c r="M26" i="10"/>
  <c r="M25" i="10"/>
  <c r="B25" i="10"/>
  <c r="K25" i="10" s="1"/>
  <c r="L25" i="10"/>
  <c r="N25" i="10" s="1"/>
  <c r="O25" i="10" s="1"/>
  <c r="F24" i="10"/>
  <c r="K24" i="10" s="1"/>
  <c r="M24" i="10"/>
  <c r="R44" i="9"/>
  <c r="J44" i="9"/>
  <c r="O44" i="9" s="1"/>
  <c r="Q44" i="9" s="1"/>
  <c r="P44" i="9" s="1"/>
  <c r="S44" i="9" s="1"/>
  <c r="R43" i="9"/>
  <c r="J43" i="9"/>
  <c r="O43" i="9" s="1"/>
  <c r="Q43" i="9" s="1"/>
  <c r="P43" i="9" s="1"/>
  <c r="S43" i="9" s="1"/>
  <c r="R42" i="9"/>
  <c r="J42" i="9"/>
  <c r="O42" i="9" s="1"/>
  <c r="R41" i="9"/>
  <c r="J41" i="9"/>
  <c r="O41" i="9" s="1"/>
  <c r="R40" i="9"/>
  <c r="J40" i="9"/>
  <c r="O40" i="9" s="1"/>
  <c r="Q40" i="9" s="1"/>
  <c r="P40" i="9" s="1"/>
  <c r="R39" i="9"/>
  <c r="J39" i="9"/>
  <c r="O39" i="9" s="1"/>
  <c r="R38" i="9"/>
  <c r="J38" i="9"/>
  <c r="O38" i="9" s="1"/>
  <c r="R37" i="9"/>
  <c r="J37" i="9"/>
  <c r="O37" i="9" s="1"/>
  <c r="R36" i="9"/>
  <c r="J36" i="9"/>
  <c r="O36" i="9" s="1"/>
  <c r="R35" i="9"/>
  <c r="J35" i="9"/>
  <c r="O35" i="9" s="1"/>
  <c r="R34" i="9"/>
  <c r="J34" i="9"/>
  <c r="O34" i="9" s="1"/>
  <c r="R33" i="9"/>
  <c r="J33" i="9"/>
  <c r="O33" i="9" s="1"/>
  <c r="R32" i="9"/>
  <c r="J32" i="9"/>
  <c r="O32" i="9" s="1"/>
  <c r="R31" i="9"/>
  <c r="J31" i="9"/>
  <c r="O31" i="9" s="1"/>
  <c r="J26" i="9"/>
  <c r="O26" i="9" s="1"/>
  <c r="Q26" i="9" s="1"/>
  <c r="P26" i="9" s="1"/>
  <c r="R26" i="9"/>
  <c r="R25" i="9"/>
  <c r="J25" i="9"/>
  <c r="O25" i="9" s="1"/>
  <c r="P25" i="9" s="1"/>
  <c r="Q25" i="9"/>
  <c r="Q24" i="9"/>
  <c r="P24" i="9"/>
  <c r="P22" i="9"/>
  <c r="Q22" i="9"/>
  <c r="Q21" i="9"/>
  <c r="P21" i="9"/>
  <c r="Q20" i="9"/>
  <c r="P20" i="9"/>
  <c r="Q19" i="9"/>
  <c r="P19" i="9"/>
  <c r="Q18" i="9"/>
  <c r="P18" i="9"/>
  <c r="P17" i="9"/>
  <c r="Q17" i="9"/>
  <c r="P16" i="9"/>
  <c r="Q16" i="9"/>
  <c r="Q15" i="9"/>
  <c r="P15" i="9"/>
  <c r="S14" i="9"/>
  <c r="P13" i="9"/>
  <c r="Q13" i="9"/>
  <c r="P12" i="9"/>
  <c r="Q12" i="9"/>
  <c r="P11" i="9"/>
  <c r="Q11" i="9"/>
  <c r="P10" i="9"/>
  <c r="Q10" i="9"/>
  <c r="P9" i="9"/>
  <c r="Q9" i="9"/>
  <c r="P8" i="9"/>
  <c r="Q8" i="9"/>
  <c r="P7" i="9"/>
  <c r="Q7" i="9"/>
  <c r="P6" i="9"/>
  <c r="Q6" i="9"/>
  <c r="P5" i="9"/>
  <c r="Q5" i="9"/>
  <c r="P4" i="9"/>
  <c r="Q4" i="9"/>
  <c r="D7" i="7"/>
  <c r="J3" i="7"/>
  <c r="L3" i="7" s="1"/>
  <c r="I4" i="7" s="1"/>
  <c r="L4" i="7" s="1"/>
  <c r="I5" i="7" s="1"/>
  <c r="L5" i="7" s="1"/>
  <c r="AE13" i="6"/>
  <c r="AD13" i="6"/>
  <c r="AC13" i="6"/>
  <c r="AB13" i="6"/>
  <c r="AB11" i="6"/>
  <c r="AE8" i="6"/>
  <c r="AD8" i="6"/>
  <c r="AC8" i="6"/>
  <c r="AB6" i="6"/>
  <c r="AB8" i="6"/>
  <c r="AA6" i="6"/>
  <c r="AA9" i="6" s="1"/>
  <c r="AA8" i="6"/>
  <c r="X45" i="5"/>
  <c r="W45" i="5"/>
  <c r="V45" i="5"/>
  <c r="U45" i="5"/>
  <c r="J45" i="5"/>
  <c r="X44" i="5"/>
  <c r="W44" i="5"/>
  <c r="V44" i="5"/>
  <c r="U44" i="5"/>
  <c r="J44" i="5"/>
  <c r="W43" i="5"/>
  <c r="U43" i="5"/>
  <c r="X43" i="5"/>
  <c r="J43" i="5"/>
  <c r="V43" i="5"/>
  <c r="W42" i="5"/>
  <c r="V42" i="5"/>
  <c r="U42" i="5"/>
  <c r="J42" i="5"/>
  <c r="X42" i="5"/>
  <c r="X41" i="5"/>
  <c r="W41" i="5"/>
  <c r="V41" i="5"/>
  <c r="J41" i="5"/>
  <c r="U41" i="5"/>
  <c r="V40" i="5"/>
  <c r="W40" i="5"/>
  <c r="U40" i="5"/>
  <c r="X40" i="5"/>
  <c r="J40" i="5"/>
  <c r="J39" i="5"/>
  <c r="U39" i="5"/>
  <c r="V39" i="5"/>
  <c r="W39" i="5"/>
  <c r="X39" i="5"/>
  <c r="J38" i="5"/>
  <c r="U38" i="5"/>
  <c r="V38" i="5"/>
  <c r="W38" i="5"/>
  <c r="X38" i="5"/>
  <c r="V37" i="5"/>
  <c r="W37" i="5"/>
  <c r="X37" i="5"/>
  <c r="J37" i="5"/>
  <c r="U37" i="5"/>
  <c r="J36" i="5"/>
  <c r="W36" i="5"/>
  <c r="X36" i="5"/>
  <c r="V36" i="5"/>
  <c r="U36" i="5"/>
  <c r="W35" i="5"/>
  <c r="X35" i="5"/>
  <c r="V35" i="5"/>
  <c r="U35" i="5"/>
  <c r="J35" i="5"/>
  <c r="X34" i="5"/>
  <c r="W34" i="5"/>
  <c r="V34" i="5"/>
  <c r="U34" i="5"/>
  <c r="J34" i="5"/>
  <c r="X33" i="5"/>
  <c r="W33" i="5"/>
  <c r="V33" i="5"/>
  <c r="U33" i="5"/>
  <c r="J33" i="5"/>
  <c r="U32" i="5"/>
  <c r="X32" i="5"/>
  <c r="W32" i="5"/>
  <c r="V32" i="5"/>
  <c r="J32" i="5"/>
  <c r="W31" i="5"/>
  <c r="V31" i="5"/>
  <c r="U31" i="5"/>
  <c r="J31" i="5"/>
  <c r="X31" i="5"/>
  <c r="V30" i="5"/>
  <c r="X30" i="5"/>
  <c r="W30" i="5"/>
  <c r="J30" i="5"/>
  <c r="U30" i="5"/>
  <c r="J29" i="5"/>
  <c r="U29" i="5"/>
  <c r="V29" i="5"/>
  <c r="W29" i="5"/>
  <c r="X29" i="5"/>
  <c r="W28" i="5"/>
  <c r="X28" i="5"/>
  <c r="J28" i="5"/>
  <c r="U28" i="5"/>
  <c r="V28" i="5"/>
  <c r="J27" i="5"/>
  <c r="U27" i="5"/>
  <c r="V27" i="5"/>
  <c r="W27" i="5"/>
  <c r="X27" i="5"/>
  <c r="U26" i="5"/>
  <c r="J26" i="5"/>
  <c r="V26" i="5"/>
  <c r="W26" i="5"/>
  <c r="X26" i="5"/>
  <c r="X25" i="5"/>
  <c r="W25" i="5"/>
  <c r="U25" i="5"/>
  <c r="J25" i="5"/>
  <c r="V25" i="5"/>
  <c r="X24" i="5"/>
  <c r="W24" i="5"/>
  <c r="V24" i="5"/>
  <c r="U24" i="5"/>
  <c r="J24" i="5"/>
  <c r="W23" i="5"/>
  <c r="V23" i="5"/>
  <c r="U23" i="5"/>
  <c r="J23" i="5"/>
  <c r="X23" i="5"/>
  <c r="V22" i="5"/>
  <c r="U22" i="5"/>
  <c r="W22" i="5"/>
  <c r="X22" i="5"/>
  <c r="J22" i="5"/>
  <c r="J21" i="5"/>
  <c r="U21" i="5"/>
  <c r="V21" i="5"/>
  <c r="W21" i="5"/>
  <c r="X21" i="5"/>
  <c r="J20" i="5"/>
  <c r="U20" i="5"/>
  <c r="V20" i="5"/>
  <c r="W20" i="5"/>
  <c r="X20" i="5"/>
  <c r="J19" i="5"/>
  <c r="U19" i="5"/>
  <c r="V19" i="5"/>
  <c r="J18" i="5"/>
  <c r="U18" i="5"/>
  <c r="V18" i="5"/>
  <c r="W18" i="5"/>
  <c r="X18" i="5"/>
  <c r="J17" i="5"/>
  <c r="U17" i="5"/>
  <c r="V17" i="5"/>
  <c r="W17" i="5"/>
  <c r="X17" i="5"/>
  <c r="J16" i="5"/>
  <c r="U16" i="5"/>
  <c r="V16" i="5"/>
  <c r="W16" i="5"/>
  <c r="AB16" i="5" s="1"/>
  <c r="X16" i="5"/>
  <c r="J15" i="5"/>
  <c r="U15" i="5"/>
  <c r="V15" i="5"/>
  <c r="W15" i="5"/>
  <c r="X15" i="5"/>
  <c r="J14" i="5"/>
  <c r="U14" i="5"/>
  <c r="V14" i="5"/>
  <c r="W14" i="5"/>
  <c r="X14" i="5"/>
  <c r="J13" i="5"/>
  <c r="U13" i="5"/>
  <c r="V13" i="5"/>
  <c r="W13" i="5"/>
  <c r="X13" i="5"/>
  <c r="J12" i="5"/>
  <c r="U12" i="5"/>
  <c r="V12" i="5"/>
  <c r="W12" i="5"/>
  <c r="X12" i="5"/>
  <c r="J11" i="5"/>
  <c r="U11" i="5"/>
  <c r="V11" i="5"/>
  <c r="W11" i="5"/>
  <c r="X11" i="5"/>
  <c r="J10" i="5"/>
  <c r="U10" i="5"/>
  <c r="V10" i="5"/>
  <c r="W10" i="5"/>
  <c r="X10" i="5"/>
  <c r="J9" i="5"/>
  <c r="U9" i="5"/>
  <c r="V9" i="5"/>
  <c r="W9" i="5"/>
  <c r="X9" i="5"/>
  <c r="J8" i="5"/>
  <c r="U8" i="5"/>
  <c r="V8" i="5"/>
  <c r="W8" i="5"/>
  <c r="X8" i="5"/>
  <c r="J7" i="5"/>
  <c r="U7" i="5"/>
  <c r="V7" i="5"/>
  <c r="W7" i="5"/>
  <c r="X7" i="5"/>
  <c r="J6" i="5"/>
  <c r="U6" i="5"/>
  <c r="V6" i="5"/>
  <c r="W6" i="5"/>
  <c r="X6" i="5"/>
  <c r="J5" i="5"/>
  <c r="U5" i="5"/>
  <c r="Z5" i="5" s="1"/>
  <c r="V5" i="5"/>
  <c r="AA5" i="5" s="1"/>
  <c r="W5" i="5"/>
  <c r="X5" i="5"/>
  <c r="F13" i="3"/>
  <c r="K4" i="1"/>
  <c r="J4" i="1" s="1"/>
  <c r="AD4" i="1" s="1"/>
  <c r="L4" i="2"/>
  <c r="K4" i="2" s="1"/>
  <c r="AD4" i="2" s="1"/>
  <c r="J176" i="2"/>
  <c r="X176" i="2" s="1"/>
  <c r="Q176" i="2"/>
  <c r="S176" i="2" s="1"/>
  <c r="Q175" i="2"/>
  <c r="S175" i="2" s="1"/>
  <c r="J175" i="2"/>
  <c r="X175" i="2" s="1"/>
  <c r="J174" i="2"/>
  <c r="X174" i="2" s="1"/>
  <c r="Q174" i="2"/>
  <c r="S174" i="2" s="1"/>
  <c r="J173" i="2"/>
  <c r="X173" i="2" s="1"/>
  <c r="Q173" i="2"/>
  <c r="S173" i="2" s="1"/>
  <c r="Q172" i="2"/>
  <c r="S172" i="2" s="1"/>
  <c r="J172" i="2"/>
  <c r="X172" i="2" s="1"/>
  <c r="J171" i="2"/>
  <c r="X171" i="2" s="1"/>
  <c r="Q171" i="2"/>
  <c r="S171" i="2" s="1"/>
  <c r="J170" i="2"/>
  <c r="X170" i="2" s="1"/>
  <c r="Q170" i="2"/>
  <c r="S170" i="2" s="1"/>
  <c r="J169" i="2"/>
  <c r="X169" i="2" s="1"/>
  <c r="Q169" i="2"/>
  <c r="S169" i="2" s="1"/>
  <c r="J168" i="2"/>
  <c r="X168" i="2" s="1"/>
  <c r="Q168" i="2"/>
  <c r="S168" i="2" s="1"/>
  <c r="J167" i="2"/>
  <c r="X167" i="2" s="1"/>
  <c r="Q167" i="2"/>
  <c r="S167" i="2" s="1"/>
  <c r="J166" i="2"/>
  <c r="X166" i="2" s="1"/>
  <c r="Q166" i="2"/>
  <c r="S166" i="2" s="1"/>
  <c r="J165" i="2"/>
  <c r="X165" i="2" s="1"/>
  <c r="Q165" i="2"/>
  <c r="J164" i="2"/>
  <c r="X164" i="2" s="1"/>
  <c r="Q164" i="2"/>
  <c r="S164" i="2" s="1"/>
  <c r="J163" i="2"/>
  <c r="X163" i="2" s="1"/>
  <c r="Q163" i="2"/>
  <c r="S163" i="2" s="1"/>
  <c r="J162" i="2"/>
  <c r="X162" i="2" s="1"/>
  <c r="Q162" i="2"/>
  <c r="S162" i="2" s="1"/>
  <c r="J161" i="2"/>
  <c r="X161" i="2" s="1"/>
  <c r="Q161" i="2"/>
  <c r="S161" i="2" s="1"/>
  <c r="J160" i="2"/>
  <c r="X160" i="2" s="1"/>
  <c r="Q160" i="2"/>
  <c r="S160" i="2" s="1"/>
  <c r="J159" i="2"/>
  <c r="X159" i="2" s="1"/>
  <c r="Q159" i="2"/>
  <c r="S159" i="2" s="1"/>
  <c r="J158" i="2"/>
  <c r="X158" i="2" s="1"/>
  <c r="Q158" i="2"/>
  <c r="S158" i="2" s="1"/>
  <c r="J157" i="2"/>
  <c r="X157" i="2" s="1"/>
  <c r="Q157" i="2"/>
  <c r="S157" i="2" s="1"/>
  <c r="J156" i="2"/>
  <c r="X156" i="2" s="1"/>
  <c r="Q156" i="2"/>
  <c r="S156" i="2" s="1"/>
  <c r="J155" i="2"/>
  <c r="X155" i="2" s="1"/>
  <c r="Q155" i="2"/>
  <c r="S155" i="2" s="1"/>
  <c r="J154" i="2"/>
  <c r="X154" i="2" s="1"/>
  <c r="Q154" i="2"/>
  <c r="S154" i="2" s="1"/>
  <c r="J153" i="2"/>
  <c r="X153" i="2" s="1"/>
  <c r="Q153" i="2"/>
  <c r="J152" i="2"/>
  <c r="X152" i="2" s="1"/>
  <c r="Q152" i="2"/>
  <c r="S152" i="2" s="1"/>
  <c r="J151" i="2"/>
  <c r="X151" i="2" s="1"/>
  <c r="Q151" i="2"/>
  <c r="S151" i="2" s="1"/>
  <c r="J150" i="2"/>
  <c r="X150" i="2" s="1"/>
  <c r="Q150" i="2"/>
  <c r="S150" i="2" s="1"/>
  <c r="J149" i="2"/>
  <c r="X149" i="2" s="1"/>
  <c r="Q149" i="2"/>
  <c r="S149" i="2" s="1"/>
  <c r="J148" i="2"/>
  <c r="X148" i="2" s="1"/>
  <c r="Q148" i="2"/>
  <c r="S148" i="2" s="1"/>
  <c r="J147" i="2"/>
  <c r="X147" i="2" s="1"/>
  <c r="Q147" i="2"/>
  <c r="S147" i="2" s="1"/>
  <c r="J146" i="2"/>
  <c r="X146" i="2" s="1"/>
  <c r="Q146" i="2"/>
  <c r="S146" i="2" s="1"/>
  <c r="J145" i="2"/>
  <c r="X145" i="2" s="1"/>
  <c r="Q145" i="2"/>
  <c r="S145" i="2" s="1"/>
  <c r="J144" i="2"/>
  <c r="X144" i="2" s="1"/>
  <c r="Q144" i="2"/>
  <c r="S144" i="2" s="1"/>
  <c r="J143" i="2"/>
  <c r="X143" i="2" s="1"/>
  <c r="Q143" i="2"/>
  <c r="S143" i="2" s="1"/>
  <c r="J142" i="2"/>
  <c r="X142" i="2" s="1"/>
  <c r="Q142" i="2"/>
  <c r="S142" i="2" s="1"/>
  <c r="J141" i="2"/>
  <c r="X141" i="2" s="1"/>
  <c r="Q141" i="2"/>
  <c r="S141" i="2" s="1"/>
  <c r="AL16" i="2" s="1"/>
  <c r="J140" i="2"/>
  <c r="X140" i="2" s="1"/>
  <c r="Q140" i="2"/>
  <c r="S140" i="2" s="1"/>
  <c r="J139" i="2"/>
  <c r="X139" i="2" s="1"/>
  <c r="Q139" i="2"/>
  <c r="S139" i="2" s="1"/>
  <c r="J138" i="2"/>
  <c r="X138" i="2" s="1"/>
  <c r="Q138" i="2"/>
  <c r="S138" i="2" s="1"/>
  <c r="J137" i="2"/>
  <c r="X137" i="2" s="1"/>
  <c r="Q137" i="2"/>
  <c r="S137" i="2" s="1"/>
  <c r="J136" i="2"/>
  <c r="X136" i="2" s="1"/>
  <c r="Q136" i="2"/>
  <c r="S136" i="2" s="1"/>
  <c r="J135" i="2"/>
  <c r="X135" i="2" s="1"/>
  <c r="Q135" i="2"/>
  <c r="S135" i="2" s="1"/>
  <c r="J134" i="2"/>
  <c r="X134" i="2" s="1"/>
  <c r="Q134" i="2"/>
  <c r="S134" i="2" s="1"/>
  <c r="J133" i="2"/>
  <c r="X133" i="2" s="1"/>
  <c r="Q133" i="2"/>
  <c r="S133" i="2" s="1"/>
  <c r="J132" i="2"/>
  <c r="X132" i="2" s="1"/>
  <c r="Q132" i="2"/>
  <c r="S132" i="2" s="1"/>
  <c r="J131" i="2"/>
  <c r="X131" i="2" s="1"/>
  <c r="Q131" i="2"/>
  <c r="S131" i="2" s="1"/>
  <c r="J130" i="2"/>
  <c r="X130" i="2" s="1"/>
  <c r="Q130" i="2"/>
  <c r="S130" i="2" s="1"/>
  <c r="J129" i="2"/>
  <c r="X129" i="2" s="1"/>
  <c r="Q129" i="2"/>
  <c r="S129" i="2" s="1"/>
  <c r="AL15" i="2" s="1"/>
  <c r="J128" i="2"/>
  <c r="X128" i="2" s="1"/>
  <c r="Q128" i="2"/>
  <c r="S128" i="2" s="1"/>
  <c r="J127" i="2"/>
  <c r="X127" i="2" s="1"/>
  <c r="Q127" i="2"/>
  <c r="S127" i="2" s="1"/>
  <c r="J126" i="2"/>
  <c r="X126" i="2" s="1"/>
  <c r="Q126" i="2"/>
  <c r="S126" i="2" s="1"/>
  <c r="J125" i="2"/>
  <c r="X125" i="2" s="1"/>
  <c r="Q125" i="2"/>
  <c r="S125" i="2" s="1"/>
  <c r="J124" i="2"/>
  <c r="X124" i="2" s="1"/>
  <c r="Q124" i="2"/>
  <c r="S124" i="2" s="1"/>
  <c r="J123" i="2"/>
  <c r="X123" i="2" s="1"/>
  <c r="Q123" i="2"/>
  <c r="S123" i="2" s="1"/>
  <c r="J122" i="2"/>
  <c r="X122" i="2" s="1"/>
  <c r="Q122" i="2"/>
  <c r="S122" i="2" s="1"/>
  <c r="J121" i="2"/>
  <c r="X121" i="2" s="1"/>
  <c r="Q121" i="2"/>
  <c r="S121" i="2" s="1"/>
  <c r="J120" i="2"/>
  <c r="X120" i="2" s="1"/>
  <c r="Q120" i="2"/>
  <c r="S120" i="2" s="1"/>
  <c r="J119" i="2"/>
  <c r="X119" i="2" s="1"/>
  <c r="Q119" i="2"/>
  <c r="S119" i="2" s="1"/>
  <c r="J118" i="2"/>
  <c r="X118" i="2" s="1"/>
  <c r="Q118" i="2"/>
  <c r="S118" i="2" s="1"/>
  <c r="J117" i="2"/>
  <c r="X117" i="2" s="1"/>
  <c r="Q117" i="2"/>
  <c r="J116" i="2"/>
  <c r="X116" i="2" s="1"/>
  <c r="Q116" i="2"/>
  <c r="S116" i="2" s="1"/>
  <c r="J115" i="2"/>
  <c r="X115" i="2" s="1"/>
  <c r="Q115" i="2"/>
  <c r="S115" i="2" s="1"/>
  <c r="J114" i="2"/>
  <c r="X114" i="2" s="1"/>
  <c r="Q114" i="2"/>
  <c r="S114" i="2" s="1"/>
  <c r="J113" i="2"/>
  <c r="X113" i="2" s="1"/>
  <c r="Q113" i="2"/>
  <c r="S113" i="2" s="1"/>
  <c r="J112" i="2"/>
  <c r="X112" i="2" s="1"/>
  <c r="Q112" i="2"/>
  <c r="S112" i="2" s="1"/>
  <c r="J111" i="2"/>
  <c r="X111" i="2" s="1"/>
  <c r="Q111" i="2"/>
  <c r="S111" i="2" s="1"/>
  <c r="J110" i="2"/>
  <c r="X110" i="2" s="1"/>
  <c r="Q110" i="2"/>
  <c r="S110" i="2" s="1"/>
  <c r="J109" i="2"/>
  <c r="X109" i="2" s="1"/>
  <c r="Q109" i="2"/>
  <c r="S109" i="2" s="1"/>
  <c r="J108" i="2"/>
  <c r="X108" i="2" s="1"/>
  <c r="Q108" i="2"/>
  <c r="S108" i="2" s="1"/>
  <c r="J107" i="2"/>
  <c r="X107" i="2" s="1"/>
  <c r="Q107" i="2"/>
  <c r="S107" i="2" s="1"/>
  <c r="J106" i="2"/>
  <c r="X106" i="2" s="1"/>
  <c r="Q106" i="2"/>
  <c r="S106" i="2" s="1"/>
  <c r="J105" i="2"/>
  <c r="X105" i="2" s="1"/>
  <c r="Q105" i="2"/>
  <c r="Q104" i="2"/>
  <c r="S104" i="2" s="1"/>
  <c r="J104" i="2"/>
  <c r="X104" i="2" s="1"/>
  <c r="J103" i="2"/>
  <c r="X103" i="2" s="1"/>
  <c r="Q103" i="2"/>
  <c r="S103" i="2" s="1"/>
  <c r="J102" i="2"/>
  <c r="X102" i="2" s="1"/>
  <c r="Q102" i="2"/>
  <c r="S102" i="2" s="1"/>
  <c r="J101" i="2"/>
  <c r="X101" i="2" s="1"/>
  <c r="Q101" i="2"/>
  <c r="S101" i="2" s="1"/>
  <c r="J100" i="2"/>
  <c r="X100" i="2" s="1"/>
  <c r="Q100" i="2"/>
  <c r="S100" i="2" s="1"/>
  <c r="J99" i="2"/>
  <c r="X99" i="2" s="1"/>
  <c r="Q99" i="2"/>
  <c r="S99" i="2" s="1"/>
  <c r="J98" i="2"/>
  <c r="X98" i="2" s="1"/>
  <c r="Q98" i="2"/>
  <c r="S98" i="2" s="1"/>
  <c r="J97" i="2"/>
  <c r="X97" i="2" s="1"/>
  <c r="Q97" i="2"/>
  <c r="S97" i="2" s="1"/>
  <c r="J96" i="2"/>
  <c r="X96" i="2" s="1"/>
  <c r="Q96" i="2"/>
  <c r="S96" i="2" s="1"/>
  <c r="J95" i="2"/>
  <c r="X95" i="2" s="1"/>
  <c r="Q95" i="2"/>
  <c r="S95" i="2" s="1"/>
  <c r="J94" i="2"/>
  <c r="X94" i="2" s="1"/>
  <c r="Q94" i="2"/>
  <c r="S94" i="2" s="1"/>
  <c r="J93" i="2"/>
  <c r="X93" i="2" s="1"/>
  <c r="Q93" i="2"/>
  <c r="J92" i="2"/>
  <c r="X92" i="2" s="1"/>
  <c r="Q92" i="2"/>
  <c r="S92" i="2" s="1"/>
  <c r="Q91" i="2"/>
  <c r="S91" i="2" s="1"/>
  <c r="J91" i="2"/>
  <c r="X91" i="2" s="1"/>
  <c r="J90" i="2"/>
  <c r="X90" i="2" s="1"/>
  <c r="Q90" i="2"/>
  <c r="S90" i="2" s="1"/>
  <c r="J89" i="2"/>
  <c r="X89" i="2" s="1"/>
  <c r="Q89" i="2"/>
  <c r="S89" i="2" s="1"/>
  <c r="J88" i="2"/>
  <c r="X88" i="2" s="1"/>
  <c r="Q88" i="2"/>
  <c r="S88" i="2" s="1"/>
  <c r="Q87" i="2"/>
  <c r="S87" i="2" s="1"/>
  <c r="J87" i="2"/>
  <c r="X87" i="2" s="1"/>
  <c r="J86" i="2"/>
  <c r="X86" i="2" s="1"/>
  <c r="Q86" i="2"/>
  <c r="S86" i="2" s="1"/>
  <c r="J85" i="2"/>
  <c r="X85" i="2" s="1"/>
  <c r="Q85" i="2"/>
  <c r="S85" i="2" s="1"/>
  <c r="J84" i="2"/>
  <c r="X84" i="2" s="1"/>
  <c r="Q84" i="2"/>
  <c r="S84" i="2" s="1"/>
  <c r="J83" i="2"/>
  <c r="X83" i="2" s="1"/>
  <c r="Q83" i="2"/>
  <c r="S83" i="2" s="1"/>
  <c r="J82" i="2"/>
  <c r="X82" i="2" s="1"/>
  <c r="Q82" i="2"/>
  <c r="S82" i="2" s="1"/>
  <c r="J81" i="2"/>
  <c r="X81" i="2" s="1"/>
  <c r="Q81" i="2"/>
  <c r="J80" i="2"/>
  <c r="X80" i="2" s="1"/>
  <c r="Q80" i="2"/>
  <c r="S80" i="2" s="1"/>
  <c r="J79" i="2"/>
  <c r="X79" i="2" s="1"/>
  <c r="Q79" i="2"/>
  <c r="S79" i="2" s="1"/>
  <c r="J78" i="2"/>
  <c r="X78" i="2" s="1"/>
  <c r="Q78" i="2"/>
  <c r="S78" i="2" s="1"/>
  <c r="J77" i="2"/>
  <c r="X77" i="2" s="1"/>
  <c r="Q77" i="2"/>
  <c r="S77" i="2" s="1"/>
  <c r="Q76" i="2"/>
  <c r="S76" i="2" s="1"/>
  <c r="J76" i="2"/>
  <c r="X76" i="2" s="1"/>
  <c r="J75" i="2"/>
  <c r="X75" i="2" s="1"/>
  <c r="Q75" i="2"/>
  <c r="S75" i="2" s="1"/>
  <c r="Q74" i="2"/>
  <c r="S74" i="2" s="1"/>
  <c r="J74" i="2"/>
  <c r="X74" i="2" s="1"/>
  <c r="J73" i="2"/>
  <c r="X73" i="2" s="1"/>
  <c r="Q73" i="2"/>
  <c r="S73" i="2" s="1"/>
  <c r="J72" i="2"/>
  <c r="X72" i="2" s="1"/>
  <c r="Q72" i="2"/>
  <c r="S72" i="2" s="1"/>
  <c r="Q71" i="2"/>
  <c r="S71" i="2" s="1"/>
  <c r="J71" i="2"/>
  <c r="X71" i="2" s="1"/>
  <c r="Q70" i="2"/>
  <c r="S70" i="2" s="1"/>
  <c r="J70" i="2"/>
  <c r="X70" i="2" s="1"/>
  <c r="J69" i="2"/>
  <c r="X69" i="2" s="1"/>
  <c r="Q69" i="2"/>
  <c r="S69" i="2" s="1"/>
  <c r="AL10" i="2" s="1"/>
  <c r="J68" i="2"/>
  <c r="X68" i="2" s="1"/>
  <c r="Q68" i="2"/>
  <c r="S68" i="2" s="1"/>
  <c r="J67" i="2"/>
  <c r="X67" i="2" s="1"/>
  <c r="Q67" i="2"/>
  <c r="S67" i="2" s="1"/>
  <c r="J66" i="2"/>
  <c r="X66" i="2" s="1"/>
  <c r="Q66" i="2"/>
  <c r="S66" i="2" s="1"/>
  <c r="J65" i="2"/>
  <c r="X65" i="2" s="1"/>
  <c r="Q65" i="2"/>
  <c r="S65" i="2" s="1"/>
  <c r="J64" i="2"/>
  <c r="X64" i="2" s="1"/>
  <c r="Q64" i="2"/>
  <c r="S64" i="2" s="1"/>
  <c r="J63" i="2"/>
  <c r="X63" i="2" s="1"/>
  <c r="Q63" i="2"/>
  <c r="S63" i="2" s="1"/>
  <c r="J62" i="2"/>
  <c r="X62" i="2" s="1"/>
  <c r="Q62" i="2"/>
  <c r="S62" i="2" s="1"/>
  <c r="J61" i="2"/>
  <c r="X61" i="2" s="1"/>
  <c r="Q61" i="2"/>
  <c r="S61" i="2" s="1"/>
  <c r="J60" i="2"/>
  <c r="X60" i="2" s="1"/>
  <c r="Q60" i="2"/>
  <c r="S60" i="2" s="1"/>
  <c r="J59" i="2"/>
  <c r="X59" i="2" s="1"/>
  <c r="Q59" i="2"/>
  <c r="S59" i="2" s="1"/>
  <c r="J58" i="2"/>
  <c r="X58" i="2" s="1"/>
  <c r="Q58" i="2"/>
  <c r="S58" i="2" s="1"/>
  <c r="AL9" i="2" s="1"/>
  <c r="U22" i="2"/>
  <c r="AA22" i="2"/>
  <c r="U21" i="2"/>
  <c r="AA21" i="2"/>
  <c r="U20" i="2"/>
  <c r="AA20" i="2"/>
  <c r="U19" i="2"/>
  <c r="AA19" i="2"/>
  <c r="U18" i="2"/>
  <c r="AA18" i="2"/>
  <c r="U17" i="2"/>
  <c r="AA17" i="2"/>
  <c r="U16" i="2"/>
  <c r="AA16" i="2"/>
  <c r="U15" i="2"/>
  <c r="AA15" i="2"/>
  <c r="U14" i="2"/>
  <c r="AA14" i="2"/>
  <c r="U13" i="2"/>
  <c r="AA13" i="2"/>
  <c r="U12" i="2"/>
  <c r="AA12" i="2"/>
  <c r="U11" i="2"/>
  <c r="AA11" i="2"/>
  <c r="U10" i="2"/>
  <c r="AA10" i="2"/>
  <c r="AA9" i="2"/>
  <c r="U9" i="2"/>
  <c r="AA8" i="2"/>
  <c r="U8" i="2"/>
  <c r="U7" i="2"/>
  <c r="AA7" i="2"/>
  <c r="AA6" i="2"/>
  <c r="U6" i="2"/>
  <c r="U5" i="2"/>
  <c r="AA5" i="2"/>
  <c r="U4" i="2"/>
  <c r="W4" i="2" s="1"/>
  <c r="Y4" i="2" s="1"/>
  <c r="AA4" i="2"/>
  <c r="AC4" i="2"/>
  <c r="O4" i="2"/>
  <c r="AB4" i="2" s="1"/>
  <c r="AJ5" i="2"/>
  <c r="AL5" i="2"/>
  <c r="AJ4" i="2"/>
  <c r="AL4" i="2"/>
  <c r="AJ16" i="2"/>
  <c r="T22" i="1"/>
  <c r="Z22" i="1"/>
  <c r="T21" i="1"/>
  <c r="Z21" i="1"/>
  <c r="T20" i="1"/>
  <c r="Z20" i="1"/>
  <c r="T19" i="1"/>
  <c r="Z19" i="1"/>
  <c r="T18" i="1"/>
  <c r="Z18" i="1"/>
  <c r="T17" i="1"/>
  <c r="Z17" i="1"/>
  <c r="T16" i="1"/>
  <c r="Z16" i="1"/>
  <c r="T15" i="1"/>
  <c r="Z15" i="1"/>
  <c r="T14" i="1"/>
  <c r="Z14" i="1"/>
  <c r="T13" i="1"/>
  <c r="Z13" i="1"/>
  <c r="T12" i="1"/>
  <c r="Z12" i="1"/>
  <c r="T11" i="1"/>
  <c r="Z11" i="1"/>
  <c r="T10" i="1"/>
  <c r="Z10" i="1"/>
  <c r="T9" i="1"/>
  <c r="Z9" i="1"/>
  <c r="T8" i="1"/>
  <c r="Z8" i="1"/>
  <c r="T7" i="1"/>
  <c r="Z7" i="1"/>
  <c r="T6" i="1"/>
  <c r="Z6" i="1"/>
  <c r="T5" i="1"/>
  <c r="Z5" i="1"/>
  <c r="T4" i="1"/>
  <c r="V4" i="1" s="1"/>
  <c r="X4" i="1" s="1"/>
  <c r="Z4" i="1"/>
  <c r="AC4" i="1"/>
  <c r="N4" i="1"/>
  <c r="AB4" i="1" s="1"/>
  <c r="O23" i="9"/>
  <c r="V18" i="12"/>
  <c r="K25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X19" i="5"/>
  <c r="W19" i="5"/>
  <c r="J4" i="5"/>
  <c r="J3" i="5"/>
  <c r="AJ15" i="2" l="1"/>
  <c r="AJ9" i="2"/>
  <c r="AJ10" i="2"/>
  <c r="T42" i="12"/>
  <c r="D63" i="1"/>
  <c r="T41" i="12"/>
  <c r="V41" i="12" s="1"/>
  <c r="D62" i="1"/>
  <c r="N33" i="10"/>
  <c r="O33" i="10" s="1"/>
  <c r="N26" i="6"/>
  <c r="Q26" i="6"/>
  <c r="U26" i="6" s="1"/>
  <c r="O26" i="6"/>
  <c r="Q7" i="6"/>
  <c r="U7" i="6" s="1"/>
  <c r="Q9" i="6"/>
  <c r="U9" i="6" s="1"/>
  <c r="Q15" i="6"/>
  <c r="U15" i="6" s="1"/>
  <c r="Q13" i="6"/>
  <c r="U13" i="6" s="1"/>
  <c r="Q11" i="6"/>
  <c r="U11" i="6" s="1"/>
  <c r="S117" i="2"/>
  <c r="AA117" i="2" s="1"/>
  <c r="AE117" i="2" s="1"/>
  <c r="AJ14" i="2"/>
  <c r="N36" i="10"/>
  <c r="O36" i="10" s="1"/>
  <c r="S105" i="2"/>
  <c r="AA105" i="2" s="1"/>
  <c r="AE105" i="2" s="1"/>
  <c r="AJ13" i="2"/>
  <c r="N35" i="10"/>
  <c r="O35" i="10" s="1"/>
  <c r="O5" i="6"/>
  <c r="S165" i="2"/>
  <c r="AJ18" i="2"/>
  <c r="N32" i="10"/>
  <c r="O32" i="10" s="1"/>
  <c r="O9" i="6"/>
  <c r="N34" i="10"/>
  <c r="O34" i="10" s="1"/>
  <c r="O8" i="6"/>
  <c r="S81" i="2"/>
  <c r="AA81" i="2" s="1"/>
  <c r="AE81" i="2" s="1"/>
  <c r="AJ11" i="2"/>
  <c r="O6" i="6"/>
  <c r="O13" i="6"/>
  <c r="O10" i="6"/>
  <c r="O15" i="6"/>
  <c r="O7" i="6"/>
  <c r="O11" i="6"/>
  <c r="Q42" i="9"/>
  <c r="P42" i="9" s="1"/>
  <c r="Q41" i="9"/>
  <c r="P41" i="9" s="1"/>
  <c r="S41" i="9" s="1"/>
  <c r="Q39" i="9"/>
  <c r="P39" i="9" s="1"/>
  <c r="S39" i="9" s="1"/>
  <c r="L40" i="10"/>
  <c r="N40" i="10" s="1"/>
  <c r="O24" i="6"/>
  <c r="Q24" i="6"/>
  <c r="U24" i="6" s="1"/>
  <c r="O23" i="6"/>
  <c r="Q23" i="6"/>
  <c r="U23" i="6" s="1"/>
  <c r="Q20" i="6"/>
  <c r="U20" i="6" s="1"/>
  <c r="O20" i="6"/>
  <c r="O22" i="6"/>
  <c r="Q22" i="6"/>
  <c r="U22" i="6" s="1"/>
  <c r="O21" i="6"/>
  <c r="Q21" i="6"/>
  <c r="U21" i="6" s="1"/>
  <c r="Q19" i="6"/>
  <c r="U19" i="6" s="1"/>
  <c r="O19" i="6"/>
  <c r="Q18" i="6"/>
  <c r="U18" i="6" s="1"/>
  <c r="O18" i="6"/>
  <c r="Q17" i="6"/>
  <c r="U17" i="6" s="1"/>
  <c r="O17" i="6"/>
  <c r="Q16" i="6"/>
  <c r="U16" i="6" s="1"/>
  <c r="O16" i="6"/>
  <c r="O14" i="6"/>
  <c r="Q14" i="6"/>
  <c r="U14" i="6" s="1"/>
  <c r="O12" i="6"/>
  <c r="Q12" i="6"/>
  <c r="U12" i="6" s="1"/>
  <c r="B44" i="10"/>
  <c r="K44" i="10" s="1"/>
  <c r="L44" i="10" s="1"/>
  <c r="M44" i="10"/>
  <c r="L43" i="10"/>
  <c r="N43" i="10" s="1"/>
  <c r="O43" i="10" s="1"/>
  <c r="L42" i="10"/>
  <c r="N42" i="10" s="1"/>
  <c r="O42" i="10" s="1"/>
  <c r="L39" i="10"/>
  <c r="N39" i="10" s="1"/>
  <c r="L38" i="10"/>
  <c r="N38" i="10" s="1"/>
  <c r="O38" i="10" s="1"/>
  <c r="V14" i="15"/>
  <c r="W14" i="15" s="1"/>
  <c r="X14" i="15"/>
  <c r="V13" i="15"/>
  <c r="W13" i="15" s="1"/>
  <c r="X13" i="15"/>
  <c r="V12" i="15"/>
  <c r="W12" i="15" s="1"/>
  <c r="X12" i="15"/>
  <c r="V11" i="15"/>
  <c r="W11" i="15" s="1"/>
  <c r="X11" i="15"/>
  <c r="V10" i="15"/>
  <c r="W10" i="15" s="1"/>
  <c r="X10" i="15"/>
  <c r="V9" i="15"/>
  <c r="W9" i="15" s="1"/>
  <c r="X9" i="15"/>
  <c r="V8" i="15"/>
  <c r="W8" i="15" s="1"/>
  <c r="X8" i="15"/>
  <c r="V6" i="15"/>
  <c r="W6" i="15" s="1"/>
  <c r="X6" i="15"/>
  <c r="V5" i="15"/>
  <c r="W5" i="15" s="1"/>
  <c r="X5" i="15"/>
  <c r="V4" i="15"/>
  <c r="W4" i="15" s="1"/>
  <c r="X4" i="15"/>
  <c r="V3" i="15"/>
  <c r="W3" i="15" s="1"/>
  <c r="X3" i="15"/>
  <c r="V2" i="15"/>
  <c r="W2" i="15" s="1"/>
  <c r="X2" i="15"/>
  <c r="P26" i="14"/>
  <c r="Q26" i="14"/>
  <c r="P25" i="14"/>
  <c r="Q25" i="14"/>
  <c r="P24" i="14"/>
  <c r="Q24" i="14"/>
  <c r="P23" i="14"/>
  <c r="Q23" i="14"/>
  <c r="P22" i="14"/>
  <c r="Q22" i="14"/>
  <c r="P21" i="14"/>
  <c r="Q21" i="14"/>
  <c r="P20" i="14"/>
  <c r="Q20" i="14"/>
  <c r="P19" i="14"/>
  <c r="Q19" i="14"/>
  <c r="P18" i="14"/>
  <c r="Q18" i="14"/>
  <c r="P17" i="14"/>
  <c r="Q17" i="14"/>
  <c r="P16" i="14"/>
  <c r="Q16" i="14"/>
  <c r="P15" i="14"/>
  <c r="Q15" i="14"/>
  <c r="P14" i="14"/>
  <c r="Q14" i="14"/>
  <c r="P13" i="14"/>
  <c r="Q13" i="14"/>
  <c r="P12" i="14"/>
  <c r="Q12" i="14"/>
  <c r="P11" i="14"/>
  <c r="Q11" i="14"/>
  <c r="P10" i="14"/>
  <c r="Q10" i="14"/>
  <c r="P9" i="14"/>
  <c r="Q9" i="14"/>
  <c r="P8" i="14"/>
  <c r="Q8" i="14"/>
  <c r="P7" i="14"/>
  <c r="Q7" i="14"/>
  <c r="P6" i="14"/>
  <c r="Q6" i="14"/>
  <c r="P5" i="14"/>
  <c r="Q5" i="14"/>
  <c r="P4" i="14"/>
  <c r="Q4" i="14"/>
  <c r="S26" i="14"/>
  <c r="S25" i="14"/>
  <c r="V40" i="12"/>
  <c r="S24" i="14"/>
  <c r="V39" i="12"/>
  <c r="S23" i="14"/>
  <c r="V38" i="12"/>
  <c r="S22" i="14"/>
  <c r="V37" i="12"/>
  <c r="S21" i="14"/>
  <c r="V36" i="12"/>
  <c r="S20" i="14"/>
  <c r="V35" i="12"/>
  <c r="S19" i="14"/>
  <c r="V34" i="12"/>
  <c r="S18" i="14"/>
  <c r="V33" i="12"/>
  <c r="S17" i="14"/>
  <c r="V32" i="12"/>
  <c r="S16" i="14"/>
  <c r="V31" i="12"/>
  <c r="S15" i="14"/>
  <c r="V30" i="12"/>
  <c r="S14" i="14"/>
  <c r="V29" i="12"/>
  <c r="S13" i="14"/>
  <c r="V28" i="12"/>
  <c r="S12" i="14"/>
  <c r="V27" i="12"/>
  <c r="S11" i="14"/>
  <c r="V26" i="12"/>
  <c r="S10" i="14"/>
  <c r="V25" i="12"/>
  <c r="S9" i="14"/>
  <c r="V24" i="12"/>
  <c r="S8" i="14"/>
  <c r="S7" i="14"/>
  <c r="S6" i="14"/>
  <c r="S5" i="14"/>
  <c r="S4" i="14"/>
  <c r="T23" i="12"/>
  <c r="V23" i="12" s="1"/>
  <c r="U23" i="12"/>
  <c r="T22" i="12"/>
  <c r="V22" i="12" s="1"/>
  <c r="U22" i="12"/>
  <c r="T21" i="12"/>
  <c r="V21" i="12" s="1"/>
  <c r="U21" i="12"/>
  <c r="T20" i="12"/>
  <c r="V20" i="12" s="1"/>
  <c r="U20" i="12"/>
  <c r="T19" i="12"/>
  <c r="V19" i="12" s="1"/>
  <c r="U19" i="12"/>
  <c r="T17" i="12"/>
  <c r="V17" i="12" s="1"/>
  <c r="U17" i="12"/>
  <c r="T16" i="12"/>
  <c r="U16" i="12"/>
  <c r="T15" i="12"/>
  <c r="U15" i="12"/>
  <c r="T14" i="12"/>
  <c r="U14" i="12"/>
  <c r="T13" i="12"/>
  <c r="U13" i="12"/>
  <c r="T12" i="12"/>
  <c r="U12" i="12"/>
  <c r="M41" i="10"/>
  <c r="B41" i="10"/>
  <c r="K41" i="10" s="1"/>
  <c r="L37" i="10"/>
  <c r="N37" i="10" s="1"/>
  <c r="O37" i="10" s="1"/>
  <c r="L31" i="10"/>
  <c r="N31" i="10" s="1"/>
  <c r="O31" i="10" s="1"/>
  <c r="L24" i="10"/>
  <c r="N24" i="10"/>
  <c r="O24" i="10" s="1"/>
  <c r="S40" i="9"/>
  <c r="S26" i="9"/>
  <c r="D45" i="1"/>
  <c r="S25" i="9"/>
  <c r="D44" i="1"/>
  <c r="S24" i="9"/>
  <c r="D43" i="1"/>
  <c r="S22" i="9"/>
  <c r="D41" i="1"/>
  <c r="D40" i="1"/>
  <c r="S21" i="9"/>
  <c r="S20" i="9"/>
  <c r="D39" i="1"/>
  <c r="D38" i="1"/>
  <c r="S19" i="9"/>
  <c r="S18" i="9"/>
  <c r="D37" i="1"/>
  <c r="S17" i="9"/>
  <c r="D36" i="1"/>
  <c r="S16" i="9"/>
  <c r="D35" i="1"/>
  <c r="D34" i="1"/>
  <c r="S15" i="9"/>
  <c r="P33" i="1"/>
  <c r="R33" i="1" s="1"/>
  <c r="D33" i="2"/>
  <c r="I33" i="1"/>
  <c r="W33" i="1" s="1"/>
  <c r="AA33" i="1" s="1"/>
  <c r="S13" i="9"/>
  <c r="D32" i="1"/>
  <c r="S12" i="9"/>
  <c r="D31" i="1"/>
  <c r="S11" i="9"/>
  <c r="D30" i="1"/>
  <c r="S10" i="9"/>
  <c r="D29" i="1"/>
  <c r="S9" i="9"/>
  <c r="D28" i="1"/>
  <c r="S8" i="9"/>
  <c r="D27" i="1"/>
  <c r="S7" i="9"/>
  <c r="D26" i="1"/>
  <c r="S6" i="9"/>
  <c r="D25" i="1"/>
  <c r="S5" i="9"/>
  <c r="D24" i="1"/>
  <c r="S4" i="9"/>
  <c r="D23" i="1"/>
  <c r="C14" i="3"/>
  <c r="AA176" i="2"/>
  <c r="AE176" i="2" s="1"/>
  <c r="AQ176" i="2" s="1"/>
  <c r="AR176" i="2" s="1"/>
  <c r="U176" i="2"/>
  <c r="W176" i="2" s="1"/>
  <c r="Y176" i="2" s="1"/>
  <c r="AA175" i="2"/>
  <c r="AE175" i="2" s="1"/>
  <c r="AQ175" i="2" s="1"/>
  <c r="AR175" i="2" s="1"/>
  <c r="U175" i="2"/>
  <c r="W175" i="2" s="1"/>
  <c r="Y175" i="2" s="1"/>
  <c r="U174" i="2"/>
  <c r="W174" i="2" s="1"/>
  <c r="Y174" i="2" s="1"/>
  <c r="AA174" i="2"/>
  <c r="AE174" i="2" s="1"/>
  <c r="AQ174" i="2" s="1"/>
  <c r="AR174" i="2" s="1"/>
  <c r="AA173" i="2"/>
  <c r="AE173" i="2" s="1"/>
  <c r="AQ173" i="2" s="1"/>
  <c r="AR173" i="2" s="1"/>
  <c r="U173" i="2"/>
  <c r="W173" i="2" s="1"/>
  <c r="Y173" i="2" s="1"/>
  <c r="AA172" i="2"/>
  <c r="AE172" i="2" s="1"/>
  <c r="AQ172" i="2" s="1"/>
  <c r="AR172" i="2" s="1"/>
  <c r="U172" i="2"/>
  <c r="W172" i="2" s="1"/>
  <c r="Y172" i="2" s="1"/>
  <c r="AA171" i="2"/>
  <c r="AE171" i="2" s="1"/>
  <c r="AQ171" i="2" s="1"/>
  <c r="AR171" i="2" s="1"/>
  <c r="U171" i="2"/>
  <c r="W171" i="2" s="1"/>
  <c r="Y171" i="2" s="1"/>
  <c r="AA170" i="2"/>
  <c r="AE170" i="2" s="1"/>
  <c r="AQ170" i="2" s="1"/>
  <c r="AR170" i="2" s="1"/>
  <c r="U170" i="2"/>
  <c r="W170" i="2" s="1"/>
  <c r="Y170" i="2" s="1"/>
  <c r="AA169" i="2"/>
  <c r="AE169" i="2" s="1"/>
  <c r="AQ169" i="2" s="1"/>
  <c r="AR169" i="2" s="1"/>
  <c r="U169" i="2"/>
  <c r="W169" i="2" s="1"/>
  <c r="Y169" i="2" s="1"/>
  <c r="U168" i="2"/>
  <c r="W168" i="2" s="1"/>
  <c r="Y168" i="2" s="1"/>
  <c r="AA168" i="2"/>
  <c r="AE168" i="2" s="1"/>
  <c r="AQ168" i="2" s="1"/>
  <c r="AR168" i="2" s="1"/>
  <c r="AA167" i="2"/>
  <c r="AE167" i="2" s="1"/>
  <c r="AQ167" i="2" s="1"/>
  <c r="AR167" i="2" s="1"/>
  <c r="U167" i="2"/>
  <c r="W167" i="2" s="1"/>
  <c r="Y167" i="2" s="1"/>
  <c r="AA166" i="2"/>
  <c r="AE166" i="2" s="1"/>
  <c r="AQ166" i="2" s="1"/>
  <c r="AR166" i="2" s="1"/>
  <c r="U166" i="2"/>
  <c r="W166" i="2" s="1"/>
  <c r="Y166" i="2" s="1"/>
  <c r="U164" i="2"/>
  <c r="W164" i="2" s="1"/>
  <c r="Y164" i="2" s="1"/>
  <c r="AA164" i="2"/>
  <c r="AE164" i="2" s="1"/>
  <c r="AQ164" i="2" s="1"/>
  <c r="AR164" i="2" s="1"/>
  <c r="U163" i="2"/>
  <c r="W163" i="2" s="1"/>
  <c r="Y163" i="2" s="1"/>
  <c r="AA163" i="2"/>
  <c r="AE163" i="2" s="1"/>
  <c r="AQ163" i="2" s="1"/>
  <c r="AR163" i="2" s="1"/>
  <c r="U162" i="2"/>
  <c r="W162" i="2" s="1"/>
  <c r="Y162" i="2" s="1"/>
  <c r="AA162" i="2"/>
  <c r="AE162" i="2" s="1"/>
  <c r="AQ162" i="2" s="1"/>
  <c r="AR162" i="2" s="1"/>
  <c r="U161" i="2"/>
  <c r="W161" i="2" s="1"/>
  <c r="Y161" i="2" s="1"/>
  <c r="AA161" i="2"/>
  <c r="AE161" i="2" s="1"/>
  <c r="AQ161" i="2" s="1"/>
  <c r="AR161" i="2" s="1"/>
  <c r="U160" i="2"/>
  <c r="W160" i="2" s="1"/>
  <c r="Y160" i="2" s="1"/>
  <c r="AA160" i="2"/>
  <c r="AE160" i="2" s="1"/>
  <c r="AQ160" i="2" s="1"/>
  <c r="AR160" i="2" s="1"/>
  <c r="U159" i="2"/>
  <c r="W159" i="2" s="1"/>
  <c r="Y159" i="2" s="1"/>
  <c r="AA159" i="2"/>
  <c r="AE159" i="2" s="1"/>
  <c r="AQ159" i="2" s="1"/>
  <c r="AR159" i="2" s="1"/>
  <c r="U158" i="2"/>
  <c r="W158" i="2" s="1"/>
  <c r="Y158" i="2" s="1"/>
  <c r="AA158" i="2"/>
  <c r="AE158" i="2" s="1"/>
  <c r="AQ158" i="2" s="1"/>
  <c r="AR158" i="2" s="1"/>
  <c r="U157" i="2"/>
  <c r="W157" i="2" s="1"/>
  <c r="Y157" i="2" s="1"/>
  <c r="AA157" i="2"/>
  <c r="AE157" i="2" s="1"/>
  <c r="AQ157" i="2" s="1"/>
  <c r="AR157" i="2" s="1"/>
  <c r="U156" i="2"/>
  <c r="W156" i="2" s="1"/>
  <c r="Y156" i="2" s="1"/>
  <c r="AA156" i="2"/>
  <c r="AE156" i="2" s="1"/>
  <c r="AQ156" i="2" s="1"/>
  <c r="AR156" i="2" s="1"/>
  <c r="U155" i="2"/>
  <c r="W155" i="2" s="1"/>
  <c r="Y155" i="2" s="1"/>
  <c r="AA155" i="2"/>
  <c r="AE155" i="2" s="1"/>
  <c r="AQ155" i="2" s="1"/>
  <c r="AR155" i="2" s="1"/>
  <c r="U154" i="2"/>
  <c r="W154" i="2" s="1"/>
  <c r="Y154" i="2" s="1"/>
  <c r="AA154" i="2"/>
  <c r="AE154" i="2" s="1"/>
  <c r="AQ154" i="2" s="1"/>
  <c r="AR154" i="2" s="1"/>
  <c r="U152" i="2"/>
  <c r="W152" i="2" s="1"/>
  <c r="Y152" i="2" s="1"/>
  <c r="AA152" i="2"/>
  <c r="AE152" i="2" s="1"/>
  <c r="AQ152" i="2" s="1"/>
  <c r="AR152" i="2" s="1"/>
  <c r="U151" i="2"/>
  <c r="W151" i="2" s="1"/>
  <c r="Y151" i="2" s="1"/>
  <c r="AA151" i="2"/>
  <c r="AE151" i="2" s="1"/>
  <c r="AQ151" i="2" s="1"/>
  <c r="AR151" i="2" s="1"/>
  <c r="U150" i="2"/>
  <c r="W150" i="2" s="1"/>
  <c r="Y150" i="2" s="1"/>
  <c r="AA150" i="2"/>
  <c r="AE150" i="2" s="1"/>
  <c r="AQ150" i="2" s="1"/>
  <c r="AR150" i="2" s="1"/>
  <c r="U149" i="2"/>
  <c r="W149" i="2" s="1"/>
  <c r="Y149" i="2" s="1"/>
  <c r="AA149" i="2"/>
  <c r="AE149" i="2" s="1"/>
  <c r="AQ149" i="2" s="1"/>
  <c r="AR149" i="2" s="1"/>
  <c r="U148" i="2"/>
  <c r="W148" i="2" s="1"/>
  <c r="Y148" i="2" s="1"/>
  <c r="AA148" i="2"/>
  <c r="AE148" i="2" s="1"/>
  <c r="AQ148" i="2" s="1"/>
  <c r="AR148" i="2" s="1"/>
  <c r="U147" i="2"/>
  <c r="W147" i="2" s="1"/>
  <c r="Y147" i="2" s="1"/>
  <c r="AA147" i="2"/>
  <c r="AE147" i="2" s="1"/>
  <c r="AQ147" i="2" s="1"/>
  <c r="AR147" i="2" s="1"/>
  <c r="U146" i="2"/>
  <c r="W146" i="2" s="1"/>
  <c r="Y146" i="2" s="1"/>
  <c r="AA146" i="2"/>
  <c r="AE146" i="2" s="1"/>
  <c r="AQ146" i="2" s="1"/>
  <c r="AR146" i="2" s="1"/>
  <c r="U145" i="2"/>
  <c r="W145" i="2" s="1"/>
  <c r="Y145" i="2" s="1"/>
  <c r="AA145" i="2"/>
  <c r="AE145" i="2" s="1"/>
  <c r="AQ145" i="2" s="1"/>
  <c r="AR145" i="2" s="1"/>
  <c r="U144" i="2"/>
  <c r="W144" i="2" s="1"/>
  <c r="Y144" i="2" s="1"/>
  <c r="AA144" i="2"/>
  <c r="AE144" i="2" s="1"/>
  <c r="AQ144" i="2" s="1"/>
  <c r="AR144" i="2" s="1"/>
  <c r="U143" i="2"/>
  <c r="W143" i="2" s="1"/>
  <c r="Y143" i="2" s="1"/>
  <c r="AA143" i="2"/>
  <c r="AE143" i="2" s="1"/>
  <c r="AQ143" i="2" s="1"/>
  <c r="AR143" i="2" s="1"/>
  <c r="U142" i="2"/>
  <c r="W142" i="2" s="1"/>
  <c r="Y142" i="2" s="1"/>
  <c r="AA142" i="2"/>
  <c r="AE142" i="2" s="1"/>
  <c r="AQ142" i="2" s="1"/>
  <c r="AR142" i="2" s="1"/>
  <c r="U141" i="2"/>
  <c r="W141" i="2" s="1"/>
  <c r="Y141" i="2" s="1"/>
  <c r="AK16" i="2" s="1"/>
  <c r="AA141" i="2"/>
  <c r="AE141" i="2" s="1"/>
  <c r="U140" i="2"/>
  <c r="W140" i="2" s="1"/>
  <c r="Y140" i="2" s="1"/>
  <c r="AA140" i="2"/>
  <c r="AE140" i="2" s="1"/>
  <c r="AQ140" i="2" s="1"/>
  <c r="AR140" i="2" s="1"/>
  <c r="U139" i="2"/>
  <c r="W139" i="2" s="1"/>
  <c r="Y139" i="2" s="1"/>
  <c r="AA139" i="2"/>
  <c r="AE139" i="2" s="1"/>
  <c r="AQ139" i="2" s="1"/>
  <c r="AR139" i="2" s="1"/>
  <c r="U138" i="2"/>
  <c r="W138" i="2" s="1"/>
  <c r="Y138" i="2" s="1"/>
  <c r="AA138" i="2"/>
  <c r="AE138" i="2" s="1"/>
  <c r="AQ138" i="2" s="1"/>
  <c r="AR138" i="2" s="1"/>
  <c r="U137" i="2"/>
  <c r="W137" i="2" s="1"/>
  <c r="Y137" i="2" s="1"/>
  <c r="AA137" i="2"/>
  <c r="AE137" i="2" s="1"/>
  <c r="AQ137" i="2" s="1"/>
  <c r="AR137" i="2" s="1"/>
  <c r="U136" i="2"/>
  <c r="W136" i="2" s="1"/>
  <c r="Y136" i="2" s="1"/>
  <c r="AA136" i="2"/>
  <c r="AE136" i="2" s="1"/>
  <c r="AQ136" i="2" s="1"/>
  <c r="AR136" i="2" s="1"/>
  <c r="U135" i="2"/>
  <c r="W135" i="2" s="1"/>
  <c r="Y135" i="2" s="1"/>
  <c r="AA135" i="2"/>
  <c r="AE135" i="2" s="1"/>
  <c r="AQ135" i="2" s="1"/>
  <c r="AR135" i="2" s="1"/>
  <c r="U134" i="2"/>
  <c r="W134" i="2" s="1"/>
  <c r="Y134" i="2" s="1"/>
  <c r="AA134" i="2"/>
  <c r="AE134" i="2" s="1"/>
  <c r="AQ134" i="2" s="1"/>
  <c r="AR134" i="2" s="1"/>
  <c r="U133" i="2"/>
  <c r="W133" i="2" s="1"/>
  <c r="Y133" i="2" s="1"/>
  <c r="AA133" i="2"/>
  <c r="AE133" i="2" s="1"/>
  <c r="AQ133" i="2" s="1"/>
  <c r="AR133" i="2" s="1"/>
  <c r="U132" i="2"/>
  <c r="W132" i="2" s="1"/>
  <c r="Y132" i="2" s="1"/>
  <c r="AA132" i="2"/>
  <c r="AE132" i="2" s="1"/>
  <c r="AQ132" i="2" s="1"/>
  <c r="AR132" i="2" s="1"/>
  <c r="U131" i="2"/>
  <c r="W131" i="2" s="1"/>
  <c r="Y131" i="2" s="1"/>
  <c r="AA131" i="2"/>
  <c r="AE131" i="2" s="1"/>
  <c r="AQ131" i="2" s="1"/>
  <c r="AR131" i="2" s="1"/>
  <c r="U130" i="2"/>
  <c r="W130" i="2" s="1"/>
  <c r="Y130" i="2" s="1"/>
  <c r="AA130" i="2"/>
  <c r="AE130" i="2" s="1"/>
  <c r="AQ130" i="2" s="1"/>
  <c r="AR130" i="2" s="1"/>
  <c r="U129" i="2"/>
  <c r="W129" i="2" s="1"/>
  <c r="Y129" i="2" s="1"/>
  <c r="AK15" i="2" s="1"/>
  <c r="AA129" i="2"/>
  <c r="AE129" i="2" s="1"/>
  <c r="U128" i="2"/>
  <c r="W128" i="2" s="1"/>
  <c r="Y128" i="2" s="1"/>
  <c r="AA128" i="2"/>
  <c r="AE128" i="2" s="1"/>
  <c r="AQ128" i="2" s="1"/>
  <c r="AR128" i="2" s="1"/>
  <c r="U127" i="2"/>
  <c r="W127" i="2" s="1"/>
  <c r="Y127" i="2" s="1"/>
  <c r="AA127" i="2"/>
  <c r="AE127" i="2" s="1"/>
  <c r="AQ127" i="2" s="1"/>
  <c r="AR127" i="2" s="1"/>
  <c r="U126" i="2"/>
  <c r="W126" i="2" s="1"/>
  <c r="Y126" i="2" s="1"/>
  <c r="AA126" i="2"/>
  <c r="AE126" i="2" s="1"/>
  <c r="AQ126" i="2" s="1"/>
  <c r="AR126" i="2" s="1"/>
  <c r="U125" i="2"/>
  <c r="W125" i="2" s="1"/>
  <c r="Y125" i="2" s="1"/>
  <c r="AA125" i="2"/>
  <c r="AE125" i="2" s="1"/>
  <c r="AQ125" i="2" s="1"/>
  <c r="AR125" i="2" s="1"/>
  <c r="U124" i="2"/>
  <c r="W124" i="2" s="1"/>
  <c r="Y124" i="2" s="1"/>
  <c r="AA124" i="2"/>
  <c r="AE124" i="2" s="1"/>
  <c r="AQ124" i="2" s="1"/>
  <c r="AR124" i="2" s="1"/>
  <c r="U123" i="2"/>
  <c r="W123" i="2" s="1"/>
  <c r="Y123" i="2" s="1"/>
  <c r="AA123" i="2"/>
  <c r="AE123" i="2" s="1"/>
  <c r="AQ123" i="2" s="1"/>
  <c r="AR123" i="2" s="1"/>
  <c r="U122" i="2"/>
  <c r="W122" i="2" s="1"/>
  <c r="Y122" i="2" s="1"/>
  <c r="AA122" i="2"/>
  <c r="AE122" i="2" s="1"/>
  <c r="AQ122" i="2" s="1"/>
  <c r="AR122" i="2" s="1"/>
  <c r="U121" i="2"/>
  <c r="W121" i="2" s="1"/>
  <c r="Y121" i="2" s="1"/>
  <c r="AA121" i="2"/>
  <c r="AE121" i="2" s="1"/>
  <c r="AQ121" i="2" s="1"/>
  <c r="AR121" i="2" s="1"/>
  <c r="U120" i="2"/>
  <c r="W120" i="2" s="1"/>
  <c r="Y120" i="2" s="1"/>
  <c r="AA120" i="2"/>
  <c r="AE120" i="2" s="1"/>
  <c r="AQ120" i="2" s="1"/>
  <c r="AR120" i="2" s="1"/>
  <c r="U119" i="2"/>
  <c r="W119" i="2" s="1"/>
  <c r="Y119" i="2" s="1"/>
  <c r="AA119" i="2"/>
  <c r="AE119" i="2" s="1"/>
  <c r="AQ119" i="2" s="1"/>
  <c r="AR119" i="2" s="1"/>
  <c r="U118" i="2"/>
  <c r="W118" i="2" s="1"/>
  <c r="Y118" i="2" s="1"/>
  <c r="AA118" i="2"/>
  <c r="AE118" i="2" s="1"/>
  <c r="AQ118" i="2" s="1"/>
  <c r="AR118" i="2" s="1"/>
  <c r="U116" i="2"/>
  <c r="W116" i="2" s="1"/>
  <c r="Y116" i="2" s="1"/>
  <c r="AA116" i="2"/>
  <c r="AE116" i="2" s="1"/>
  <c r="AQ116" i="2" s="1"/>
  <c r="AR116" i="2" s="1"/>
  <c r="U115" i="2"/>
  <c r="W115" i="2" s="1"/>
  <c r="Y115" i="2" s="1"/>
  <c r="AA115" i="2"/>
  <c r="AE115" i="2" s="1"/>
  <c r="AQ115" i="2" s="1"/>
  <c r="AR115" i="2" s="1"/>
  <c r="U114" i="2"/>
  <c r="W114" i="2" s="1"/>
  <c r="Y114" i="2" s="1"/>
  <c r="AA114" i="2"/>
  <c r="AE114" i="2" s="1"/>
  <c r="AQ114" i="2" s="1"/>
  <c r="AR114" i="2" s="1"/>
  <c r="U113" i="2"/>
  <c r="W113" i="2" s="1"/>
  <c r="Y113" i="2" s="1"/>
  <c r="AA113" i="2"/>
  <c r="AE113" i="2" s="1"/>
  <c r="AQ113" i="2" s="1"/>
  <c r="AR113" i="2" s="1"/>
  <c r="U112" i="2"/>
  <c r="W112" i="2" s="1"/>
  <c r="Y112" i="2" s="1"/>
  <c r="AA112" i="2"/>
  <c r="AE112" i="2" s="1"/>
  <c r="AQ112" i="2" s="1"/>
  <c r="AR112" i="2" s="1"/>
  <c r="U111" i="2"/>
  <c r="W111" i="2" s="1"/>
  <c r="Y111" i="2" s="1"/>
  <c r="AA111" i="2"/>
  <c r="AE111" i="2" s="1"/>
  <c r="AQ111" i="2" s="1"/>
  <c r="AR111" i="2" s="1"/>
  <c r="U110" i="2"/>
  <c r="W110" i="2" s="1"/>
  <c r="Y110" i="2" s="1"/>
  <c r="AA110" i="2"/>
  <c r="AE110" i="2" s="1"/>
  <c r="AQ110" i="2" s="1"/>
  <c r="AR110" i="2" s="1"/>
  <c r="U109" i="2"/>
  <c r="W109" i="2" s="1"/>
  <c r="Y109" i="2" s="1"/>
  <c r="AA109" i="2"/>
  <c r="AE109" i="2" s="1"/>
  <c r="AQ109" i="2" s="1"/>
  <c r="AR109" i="2" s="1"/>
  <c r="U108" i="2"/>
  <c r="W108" i="2" s="1"/>
  <c r="Y108" i="2" s="1"/>
  <c r="AA108" i="2"/>
  <c r="AE108" i="2" s="1"/>
  <c r="AQ108" i="2" s="1"/>
  <c r="AR108" i="2" s="1"/>
  <c r="U107" i="2"/>
  <c r="W107" i="2" s="1"/>
  <c r="Y107" i="2" s="1"/>
  <c r="AA107" i="2"/>
  <c r="AE107" i="2" s="1"/>
  <c r="AQ107" i="2" s="1"/>
  <c r="AR107" i="2" s="1"/>
  <c r="U106" i="2"/>
  <c r="W106" i="2" s="1"/>
  <c r="Y106" i="2" s="1"/>
  <c r="AA106" i="2"/>
  <c r="AE106" i="2" s="1"/>
  <c r="AQ106" i="2" s="1"/>
  <c r="AR106" i="2" s="1"/>
  <c r="AA104" i="2"/>
  <c r="AE104" i="2" s="1"/>
  <c r="AQ104" i="2" s="1"/>
  <c r="AR104" i="2" s="1"/>
  <c r="U104" i="2"/>
  <c r="W104" i="2" s="1"/>
  <c r="Y104" i="2" s="1"/>
  <c r="AA103" i="2"/>
  <c r="AE103" i="2" s="1"/>
  <c r="AQ103" i="2" s="1"/>
  <c r="AR103" i="2" s="1"/>
  <c r="U103" i="2"/>
  <c r="W103" i="2" s="1"/>
  <c r="Y103" i="2" s="1"/>
  <c r="U102" i="2"/>
  <c r="W102" i="2" s="1"/>
  <c r="Y102" i="2" s="1"/>
  <c r="AA102" i="2"/>
  <c r="AE102" i="2" s="1"/>
  <c r="AQ102" i="2" s="1"/>
  <c r="AR102" i="2" s="1"/>
  <c r="AA101" i="2"/>
  <c r="AE101" i="2" s="1"/>
  <c r="AQ101" i="2" s="1"/>
  <c r="AR101" i="2" s="1"/>
  <c r="U101" i="2"/>
  <c r="W101" i="2" s="1"/>
  <c r="Y101" i="2" s="1"/>
  <c r="U100" i="2"/>
  <c r="W100" i="2" s="1"/>
  <c r="Y100" i="2" s="1"/>
  <c r="AA100" i="2"/>
  <c r="AE100" i="2" s="1"/>
  <c r="AQ100" i="2" s="1"/>
  <c r="AR100" i="2" s="1"/>
  <c r="AA99" i="2"/>
  <c r="AE99" i="2" s="1"/>
  <c r="AQ99" i="2" s="1"/>
  <c r="AR99" i="2" s="1"/>
  <c r="U99" i="2"/>
  <c r="W99" i="2" s="1"/>
  <c r="Y99" i="2" s="1"/>
  <c r="U98" i="2"/>
  <c r="W98" i="2" s="1"/>
  <c r="Y98" i="2" s="1"/>
  <c r="AA98" i="2"/>
  <c r="AE98" i="2" s="1"/>
  <c r="AQ98" i="2" s="1"/>
  <c r="AR98" i="2" s="1"/>
  <c r="AA97" i="2"/>
  <c r="AE97" i="2" s="1"/>
  <c r="AQ97" i="2" s="1"/>
  <c r="AR97" i="2" s="1"/>
  <c r="U97" i="2"/>
  <c r="W97" i="2" s="1"/>
  <c r="Y97" i="2" s="1"/>
  <c r="U96" i="2"/>
  <c r="W96" i="2" s="1"/>
  <c r="Y96" i="2" s="1"/>
  <c r="AA96" i="2"/>
  <c r="AE96" i="2" s="1"/>
  <c r="AQ96" i="2" s="1"/>
  <c r="AR96" i="2" s="1"/>
  <c r="AA95" i="2"/>
  <c r="AE95" i="2" s="1"/>
  <c r="AQ95" i="2" s="1"/>
  <c r="AR95" i="2" s="1"/>
  <c r="U95" i="2"/>
  <c r="W95" i="2" s="1"/>
  <c r="Y95" i="2" s="1"/>
  <c r="U94" i="2"/>
  <c r="W94" i="2" s="1"/>
  <c r="Y94" i="2" s="1"/>
  <c r="AA94" i="2"/>
  <c r="AE94" i="2" s="1"/>
  <c r="AQ94" i="2" s="1"/>
  <c r="AR94" i="2" s="1"/>
  <c r="U92" i="2"/>
  <c r="W92" i="2" s="1"/>
  <c r="Y92" i="2" s="1"/>
  <c r="AA92" i="2"/>
  <c r="AE92" i="2" s="1"/>
  <c r="AQ92" i="2" s="1"/>
  <c r="AR92" i="2" s="1"/>
  <c r="AA91" i="2"/>
  <c r="AE91" i="2" s="1"/>
  <c r="AQ91" i="2" s="1"/>
  <c r="AR91" i="2" s="1"/>
  <c r="U91" i="2"/>
  <c r="W91" i="2" s="1"/>
  <c r="Y91" i="2" s="1"/>
  <c r="AA90" i="2"/>
  <c r="AE90" i="2" s="1"/>
  <c r="AQ90" i="2" s="1"/>
  <c r="AR90" i="2" s="1"/>
  <c r="U90" i="2"/>
  <c r="W90" i="2" s="1"/>
  <c r="Y90" i="2" s="1"/>
  <c r="AA89" i="2"/>
  <c r="AE89" i="2" s="1"/>
  <c r="AQ89" i="2" s="1"/>
  <c r="AR89" i="2" s="1"/>
  <c r="U89" i="2"/>
  <c r="W89" i="2" s="1"/>
  <c r="Y89" i="2" s="1"/>
  <c r="U88" i="2"/>
  <c r="W88" i="2" s="1"/>
  <c r="Y88" i="2" s="1"/>
  <c r="AA88" i="2"/>
  <c r="AE88" i="2" s="1"/>
  <c r="AQ88" i="2" s="1"/>
  <c r="AR88" i="2" s="1"/>
  <c r="U87" i="2"/>
  <c r="W87" i="2" s="1"/>
  <c r="Y87" i="2" s="1"/>
  <c r="AA87" i="2"/>
  <c r="AE87" i="2" s="1"/>
  <c r="AQ87" i="2" s="1"/>
  <c r="AR87" i="2" s="1"/>
  <c r="U86" i="2"/>
  <c r="W86" i="2" s="1"/>
  <c r="Y86" i="2" s="1"/>
  <c r="AA86" i="2"/>
  <c r="AE86" i="2" s="1"/>
  <c r="AQ86" i="2" s="1"/>
  <c r="AR86" i="2" s="1"/>
  <c r="U85" i="2"/>
  <c r="W85" i="2" s="1"/>
  <c r="Y85" i="2" s="1"/>
  <c r="AA85" i="2"/>
  <c r="AE85" i="2" s="1"/>
  <c r="AQ85" i="2" s="1"/>
  <c r="AR85" i="2" s="1"/>
  <c r="AA84" i="2"/>
  <c r="AE84" i="2" s="1"/>
  <c r="AQ84" i="2" s="1"/>
  <c r="AR84" i="2" s="1"/>
  <c r="U84" i="2"/>
  <c r="W84" i="2" s="1"/>
  <c r="Y84" i="2" s="1"/>
  <c r="AA83" i="2"/>
  <c r="AE83" i="2" s="1"/>
  <c r="AQ83" i="2" s="1"/>
  <c r="AR83" i="2" s="1"/>
  <c r="U83" i="2"/>
  <c r="W83" i="2" s="1"/>
  <c r="Y83" i="2" s="1"/>
  <c r="U82" i="2"/>
  <c r="W82" i="2" s="1"/>
  <c r="Y82" i="2" s="1"/>
  <c r="AA82" i="2"/>
  <c r="AE82" i="2" s="1"/>
  <c r="AQ82" i="2" s="1"/>
  <c r="AR82" i="2" s="1"/>
  <c r="AA80" i="2"/>
  <c r="AE80" i="2" s="1"/>
  <c r="AQ80" i="2" s="1"/>
  <c r="AR80" i="2" s="1"/>
  <c r="U80" i="2"/>
  <c r="W80" i="2" s="1"/>
  <c r="Y80" i="2" s="1"/>
  <c r="AA79" i="2"/>
  <c r="AE79" i="2" s="1"/>
  <c r="AQ79" i="2" s="1"/>
  <c r="AR79" i="2" s="1"/>
  <c r="U79" i="2"/>
  <c r="W79" i="2" s="1"/>
  <c r="Y79" i="2" s="1"/>
  <c r="U78" i="2"/>
  <c r="W78" i="2" s="1"/>
  <c r="Y78" i="2" s="1"/>
  <c r="AA78" i="2"/>
  <c r="AE78" i="2" s="1"/>
  <c r="AQ78" i="2" s="1"/>
  <c r="AR78" i="2" s="1"/>
  <c r="AA77" i="2"/>
  <c r="AE77" i="2" s="1"/>
  <c r="AQ77" i="2" s="1"/>
  <c r="AR77" i="2" s="1"/>
  <c r="U77" i="2"/>
  <c r="W77" i="2" s="1"/>
  <c r="Y77" i="2" s="1"/>
  <c r="U76" i="2"/>
  <c r="W76" i="2" s="1"/>
  <c r="Y76" i="2" s="1"/>
  <c r="AA76" i="2"/>
  <c r="AE76" i="2" s="1"/>
  <c r="AQ76" i="2" s="1"/>
  <c r="AR76" i="2" s="1"/>
  <c r="U75" i="2"/>
  <c r="W75" i="2" s="1"/>
  <c r="Y75" i="2" s="1"/>
  <c r="AA75" i="2"/>
  <c r="AE75" i="2" s="1"/>
  <c r="AQ75" i="2" s="1"/>
  <c r="AR75" i="2" s="1"/>
  <c r="AA74" i="2"/>
  <c r="AE74" i="2" s="1"/>
  <c r="AQ74" i="2" s="1"/>
  <c r="AR74" i="2" s="1"/>
  <c r="U74" i="2"/>
  <c r="W74" i="2" s="1"/>
  <c r="Y74" i="2" s="1"/>
  <c r="AA73" i="2"/>
  <c r="AE73" i="2" s="1"/>
  <c r="AQ73" i="2" s="1"/>
  <c r="AR73" i="2" s="1"/>
  <c r="U73" i="2"/>
  <c r="W73" i="2" s="1"/>
  <c r="Y73" i="2" s="1"/>
  <c r="AA72" i="2"/>
  <c r="AE72" i="2" s="1"/>
  <c r="AQ72" i="2" s="1"/>
  <c r="AR72" i="2" s="1"/>
  <c r="U72" i="2"/>
  <c r="W72" i="2" s="1"/>
  <c r="Y72" i="2" s="1"/>
  <c r="U71" i="2"/>
  <c r="W71" i="2" s="1"/>
  <c r="Y71" i="2" s="1"/>
  <c r="AA71" i="2"/>
  <c r="AE71" i="2" s="1"/>
  <c r="AQ71" i="2" s="1"/>
  <c r="AR71" i="2" s="1"/>
  <c r="U70" i="2"/>
  <c r="W70" i="2" s="1"/>
  <c r="Y70" i="2" s="1"/>
  <c r="AA70" i="2"/>
  <c r="AE70" i="2" s="1"/>
  <c r="AQ70" i="2" s="1"/>
  <c r="AR70" i="2" s="1"/>
  <c r="U69" i="2"/>
  <c r="W69" i="2" s="1"/>
  <c r="Y69" i="2" s="1"/>
  <c r="AK10" i="2" s="1"/>
  <c r="AA69" i="2"/>
  <c r="AE69" i="2" s="1"/>
  <c r="U68" i="2"/>
  <c r="W68" i="2" s="1"/>
  <c r="Y68" i="2" s="1"/>
  <c r="AA68" i="2"/>
  <c r="AE68" i="2" s="1"/>
  <c r="AQ68" i="2" s="1"/>
  <c r="AR68" i="2" s="1"/>
  <c r="U67" i="2"/>
  <c r="W67" i="2" s="1"/>
  <c r="Y67" i="2" s="1"/>
  <c r="AA67" i="2"/>
  <c r="AE67" i="2" s="1"/>
  <c r="AQ67" i="2" s="1"/>
  <c r="AR67" i="2" s="1"/>
  <c r="U66" i="2"/>
  <c r="W66" i="2" s="1"/>
  <c r="Y66" i="2" s="1"/>
  <c r="AA66" i="2"/>
  <c r="AE66" i="2" s="1"/>
  <c r="AQ66" i="2" s="1"/>
  <c r="AR66" i="2" s="1"/>
  <c r="U65" i="2"/>
  <c r="W65" i="2" s="1"/>
  <c r="Y65" i="2" s="1"/>
  <c r="AA65" i="2"/>
  <c r="AE65" i="2" s="1"/>
  <c r="AQ65" i="2" s="1"/>
  <c r="AR65" i="2" s="1"/>
  <c r="U64" i="2"/>
  <c r="W64" i="2" s="1"/>
  <c r="Y64" i="2" s="1"/>
  <c r="AA64" i="2"/>
  <c r="AE64" i="2" s="1"/>
  <c r="AQ64" i="2" s="1"/>
  <c r="AR64" i="2" s="1"/>
  <c r="U63" i="2"/>
  <c r="W63" i="2" s="1"/>
  <c r="Y63" i="2" s="1"/>
  <c r="AA63" i="2"/>
  <c r="AE63" i="2" s="1"/>
  <c r="AQ63" i="2" s="1"/>
  <c r="AR63" i="2" s="1"/>
  <c r="U62" i="2"/>
  <c r="W62" i="2" s="1"/>
  <c r="Y62" i="2" s="1"/>
  <c r="AA62" i="2"/>
  <c r="AE62" i="2" s="1"/>
  <c r="AQ62" i="2" s="1"/>
  <c r="AR62" i="2" s="1"/>
  <c r="U61" i="2"/>
  <c r="W61" i="2" s="1"/>
  <c r="Y61" i="2" s="1"/>
  <c r="AA61" i="2"/>
  <c r="AE61" i="2" s="1"/>
  <c r="AQ61" i="2" s="1"/>
  <c r="AR61" i="2" s="1"/>
  <c r="U60" i="2"/>
  <c r="W60" i="2" s="1"/>
  <c r="Y60" i="2" s="1"/>
  <c r="AA60" i="2"/>
  <c r="AE60" i="2" s="1"/>
  <c r="AQ60" i="2" s="1"/>
  <c r="AR60" i="2" s="1"/>
  <c r="U59" i="2"/>
  <c r="W59" i="2" s="1"/>
  <c r="Y59" i="2" s="1"/>
  <c r="AA59" i="2"/>
  <c r="AE59" i="2" s="1"/>
  <c r="AQ59" i="2" s="1"/>
  <c r="AR59" i="2" s="1"/>
  <c r="U58" i="2"/>
  <c r="W58" i="2" s="1"/>
  <c r="Y58" i="2" s="1"/>
  <c r="AK9" i="2" s="1"/>
  <c r="AA58" i="2"/>
  <c r="AE58" i="2" s="1"/>
  <c r="P23" i="9"/>
  <c r="Q23" i="9"/>
  <c r="Q25" i="6"/>
  <c r="U25" i="6" s="1"/>
  <c r="O25" i="6"/>
  <c r="Z6" i="5"/>
  <c r="Z7" i="5" s="1"/>
  <c r="Z8" i="5" s="1"/>
  <c r="Z9" i="5" s="1"/>
  <c r="Z10" i="5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Z37" i="5" s="1"/>
  <c r="Z38" i="5" s="1"/>
  <c r="Z39" i="5" s="1"/>
  <c r="Z40" i="5" s="1"/>
  <c r="Z41" i="5" s="1"/>
  <c r="Z42" i="5" s="1"/>
  <c r="Z43" i="5" s="1"/>
  <c r="Z44" i="5" s="1"/>
  <c r="Z45" i="5" s="1"/>
  <c r="AE4" i="2"/>
  <c r="AE4" i="1"/>
  <c r="AG4" i="1" s="1"/>
  <c r="AF5" i="1" s="1"/>
  <c r="AB17" i="5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B37" i="5" s="1"/>
  <c r="AB38" i="5" s="1"/>
  <c r="AB39" i="5" s="1"/>
  <c r="AB40" i="5" s="1"/>
  <c r="AB41" i="5" s="1"/>
  <c r="AB42" i="5" s="1"/>
  <c r="AB43" i="5" s="1"/>
  <c r="AB44" i="5" s="1"/>
  <c r="AB45" i="5" s="1"/>
  <c r="AA6" i="5"/>
  <c r="AA7" i="5" s="1"/>
  <c r="AA8" i="5" s="1"/>
  <c r="AA9" i="5" s="1"/>
  <c r="AA10" i="5" s="1"/>
  <c r="AA11" i="5" s="1"/>
  <c r="AA12" i="5" s="1"/>
  <c r="AA13" i="5" s="1"/>
  <c r="AA14" i="5" s="1"/>
  <c r="AA15" i="5" s="1"/>
  <c r="AA16" i="5" s="1"/>
  <c r="AA17" i="5" s="1"/>
  <c r="AA18" i="5" s="1"/>
  <c r="AA19" i="5" s="1"/>
  <c r="AA20" i="5" s="1"/>
  <c r="AA21" i="5" s="1"/>
  <c r="AA22" i="5" s="1"/>
  <c r="AA23" i="5" s="1"/>
  <c r="AA24" i="5" s="1"/>
  <c r="AA25" i="5" s="1"/>
  <c r="AA26" i="5" s="1"/>
  <c r="AA27" i="5" s="1"/>
  <c r="AA28" i="5" s="1"/>
  <c r="AA29" i="5" s="1"/>
  <c r="AA30" i="5" s="1"/>
  <c r="AA31" i="5" s="1"/>
  <c r="AA32" i="5" s="1"/>
  <c r="AA33" i="5" s="1"/>
  <c r="AA34" i="5" s="1"/>
  <c r="AA35" i="5" s="1"/>
  <c r="AA36" i="5" s="1"/>
  <c r="AA37" i="5" s="1"/>
  <c r="AA38" i="5" s="1"/>
  <c r="AA39" i="5" s="1"/>
  <c r="AA40" i="5" s="1"/>
  <c r="AA41" i="5" s="1"/>
  <c r="AA42" i="5" s="1"/>
  <c r="AA43" i="5" s="1"/>
  <c r="AA44" i="5" s="1"/>
  <c r="AA45" i="5" s="1"/>
  <c r="AA46" i="5" s="1"/>
  <c r="Q3" i="14"/>
  <c r="N3" i="14"/>
  <c r="M3" i="14" s="1"/>
  <c r="L26" i="10"/>
  <c r="N26" i="10"/>
  <c r="O26" i="10" s="1"/>
  <c r="Q38" i="9"/>
  <c r="P38" i="9" s="1"/>
  <c r="Q37" i="9"/>
  <c r="P37" i="9" s="1"/>
  <c r="Q36" i="9"/>
  <c r="P36" i="9" s="1"/>
  <c r="Q35" i="9"/>
  <c r="P35" i="9" s="1"/>
  <c r="Q34" i="9"/>
  <c r="P34" i="9"/>
  <c r="Q33" i="9"/>
  <c r="P33" i="9"/>
  <c r="Q32" i="9"/>
  <c r="P32" i="9" s="1"/>
  <c r="Q31" i="9"/>
  <c r="P31" i="9"/>
  <c r="AB14" i="6"/>
  <c r="H27" i="10" s="1"/>
  <c r="AC11" i="6"/>
  <c r="AB9" i="6"/>
  <c r="L27" i="9" s="1"/>
  <c r="AC6" i="6"/>
  <c r="S153" i="2"/>
  <c r="AJ17" i="2"/>
  <c r="S93" i="2"/>
  <c r="AJ12" i="2"/>
  <c r="I63" i="1" l="1"/>
  <c r="P63" i="1"/>
  <c r="R63" i="1" s="1"/>
  <c r="I62" i="1"/>
  <c r="P62" i="1"/>
  <c r="R62" i="1" s="1"/>
  <c r="V26" i="6"/>
  <c r="T26" i="6"/>
  <c r="AL14" i="2"/>
  <c r="U117" i="2"/>
  <c r="W117" i="2" s="1"/>
  <c r="Y117" i="2" s="1"/>
  <c r="AK14" i="2" s="1"/>
  <c r="AL13" i="2"/>
  <c r="U105" i="2"/>
  <c r="W105" i="2" s="1"/>
  <c r="Y105" i="2" s="1"/>
  <c r="AK13" i="2" s="1"/>
  <c r="T5" i="6"/>
  <c r="V5" i="6"/>
  <c r="AL18" i="2"/>
  <c r="U165" i="2"/>
  <c r="W165" i="2" s="1"/>
  <c r="Y165" i="2" s="1"/>
  <c r="AK18" i="2" s="1"/>
  <c r="AA165" i="2"/>
  <c r="AE165" i="2" s="1"/>
  <c r="AL11" i="2"/>
  <c r="U81" i="2"/>
  <c r="W81" i="2" s="1"/>
  <c r="Y81" i="2" s="1"/>
  <c r="AK11" i="2" s="1"/>
  <c r="T9" i="6"/>
  <c r="V9" i="6"/>
  <c r="T8" i="6"/>
  <c r="V8" i="6"/>
  <c r="T6" i="6"/>
  <c r="V6" i="6"/>
  <c r="V13" i="6"/>
  <c r="T13" i="6"/>
  <c r="T10" i="6"/>
  <c r="V10" i="6"/>
  <c r="T15" i="6"/>
  <c r="V15" i="6"/>
  <c r="T7" i="6"/>
  <c r="V7" i="6"/>
  <c r="T11" i="6"/>
  <c r="V11" i="6"/>
  <c r="D61" i="1"/>
  <c r="S42" i="9"/>
  <c r="O40" i="10"/>
  <c r="D59" i="1"/>
  <c r="T24" i="6"/>
  <c r="V24" i="6"/>
  <c r="T23" i="6"/>
  <c r="V23" i="6"/>
  <c r="T20" i="6"/>
  <c r="V20" i="6"/>
  <c r="T22" i="6"/>
  <c r="V22" i="6"/>
  <c r="T21" i="6"/>
  <c r="V21" i="6"/>
  <c r="T19" i="6"/>
  <c r="V19" i="6"/>
  <c r="T18" i="6"/>
  <c r="V18" i="6"/>
  <c r="T17" i="6"/>
  <c r="V17" i="6"/>
  <c r="V16" i="6"/>
  <c r="T16" i="6"/>
  <c r="T14" i="6"/>
  <c r="V14" i="6"/>
  <c r="T12" i="6"/>
  <c r="V12" i="6"/>
  <c r="N44" i="10"/>
  <c r="O44" i="10" s="1"/>
  <c r="D58" i="1"/>
  <c r="O39" i="10"/>
  <c r="L41" i="10"/>
  <c r="N41" i="10" s="1"/>
  <c r="D45" i="2"/>
  <c r="I45" i="1"/>
  <c r="W45" i="1" s="1"/>
  <c r="AA45" i="1" s="1"/>
  <c r="P45" i="1"/>
  <c r="R45" i="1" s="1"/>
  <c r="I44" i="1"/>
  <c r="W44" i="1" s="1"/>
  <c r="AA44" i="1" s="1"/>
  <c r="P44" i="1"/>
  <c r="R44" i="1" s="1"/>
  <c r="D44" i="2"/>
  <c r="P43" i="1"/>
  <c r="R43" i="1" s="1"/>
  <c r="D43" i="2"/>
  <c r="I43" i="1"/>
  <c r="W43" i="1" s="1"/>
  <c r="AA43" i="1" s="1"/>
  <c r="P41" i="1"/>
  <c r="R41" i="1" s="1"/>
  <c r="D41" i="2"/>
  <c r="I41" i="1"/>
  <c r="W41" i="1" s="1"/>
  <c r="AA41" i="1" s="1"/>
  <c r="D40" i="2"/>
  <c r="I40" i="1"/>
  <c r="W40" i="1" s="1"/>
  <c r="AA40" i="1" s="1"/>
  <c r="P40" i="1"/>
  <c r="R40" i="1" s="1"/>
  <c r="I39" i="1"/>
  <c r="W39" i="1" s="1"/>
  <c r="AA39" i="1" s="1"/>
  <c r="D39" i="2"/>
  <c r="P39" i="1"/>
  <c r="R39" i="1" s="1"/>
  <c r="I38" i="1"/>
  <c r="W38" i="1" s="1"/>
  <c r="AA38" i="1" s="1"/>
  <c r="P38" i="1"/>
  <c r="R38" i="1" s="1"/>
  <c r="D38" i="2"/>
  <c r="D37" i="2"/>
  <c r="I37" i="1"/>
  <c r="W37" i="1" s="1"/>
  <c r="AA37" i="1" s="1"/>
  <c r="P37" i="1"/>
  <c r="R37" i="1" s="1"/>
  <c r="P36" i="1"/>
  <c r="R36" i="1" s="1"/>
  <c r="D36" i="2"/>
  <c r="I36" i="1"/>
  <c r="W36" i="1" s="1"/>
  <c r="AA36" i="1" s="1"/>
  <c r="I35" i="1"/>
  <c r="W35" i="1" s="1"/>
  <c r="AA35" i="1" s="1"/>
  <c r="D35" i="2"/>
  <c r="P35" i="1"/>
  <c r="R35" i="1" s="1"/>
  <c r="P34" i="1"/>
  <c r="R34" i="1" s="1"/>
  <c r="D34" i="2"/>
  <c r="I34" i="1"/>
  <c r="W34" i="1" s="1"/>
  <c r="AA34" i="1" s="1"/>
  <c r="Z33" i="1"/>
  <c r="T33" i="1"/>
  <c r="J33" i="2"/>
  <c r="X33" i="2" s="1"/>
  <c r="Q33" i="2"/>
  <c r="P32" i="1"/>
  <c r="R32" i="1" s="1"/>
  <c r="I32" i="1"/>
  <c r="W32" i="1" s="1"/>
  <c r="AA32" i="1" s="1"/>
  <c r="D32" i="2"/>
  <c r="D31" i="2"/>
  <c r="I31" i="1"/>
  <c r="W31" i="1" s="1"/>
  <c r="AA31" i="1" s="1"/>
  <c r="P31" i="1"/>
  <c r="R31" i="1" s="1"/>
  <c r="I30" i="1"/>
  <c r="W30" i="1" s="1"/>
  <c r="AA30" i="1" s="1"/>
  <c r="P30" i="1"/>
  <c r="R30" i="1" s="1"/>
  <c r="D30" i="2"/>
  <c r="P29" i="1"/>
  <c r="R29" i="1" s="1"/>
  <c r="I29" i="1"/>
  <c r="W29" i="1" s="1"/>
  <c r="AA29" i="1" s="1"/>
  <c r="D29" i="2"/>
  <c r="P28" i="1"/>
  <c r="R28" i="1" s="1"/>
  <c r="I28" i="1"/>
  <c r="W28" i="1" s="1"/>
  <c r="AA28" i="1" s="1"/>
  <c r="D28" i="2"/>
  <c r="P27" i="1"/>
  <c r="R27" i="1" s="1"/>
  <c r="I27" i="1"/>
  <c r="W27" i="1" s="1"/>
  <c r="AA27" i="1" s="1"/>
  <c r="D27" i="2"/>
  <c r="P26" i="1"/>
  <c r="R26" i="1" s="1"/>
  <c r="I26" i="1"/>
  <c r="W26" i="1" s="1"/>
  <c r="AA26" i="1" s="1"/>
  <c r="D26" i="2"/>
  <c r="P25" i="1"/>
  <c r="R25" i="1" s="1"/>
  <c r="I25" i="1"/>
  <c r="W25" i="1" s="1"/>
  <c r="AA25" i="1" s="1"/>
  <c r="D25" i="2"/>
  <c r="I24" i="1"/>
  <c r="W24" i="1" s="1"/>
  <c r="AA24" i="1" s="1"/>
  <c r="P24" i="1"/>
  <c r="R24" i="1" s="1"/>
  <c r="D24" i="2"/>
  <c r="P23" i="1"/>
  <c r="R23" i="1" s="1"/>
  <c r="D23" i="2"/>
  <c r="I23" i="1"/>
  <c r="W23" i="1" s="1"/>
  <c r="AA23" i="1" s="1"/>
  <c r="D14" i="3"/>
  <c r="L5" i="1"/>
  <c r="U5" i="1" s="1"/>
  <c r="V5" i="1" s="1"/>
  <c r="X5" i="1" s="1"/>
  <c r="M5" i="2"/>
  <c r="V5" i="2" s="1"/>
  <c r="W5" i="2" s="1"/>
  <c r="Y5" i="2" s="1"/>
  <c r="AM16" i="2"/>
  <c r="AQ141" i="2"/>
  <c r="AR141" i="2" s="1"/>
  <c r="AM15" i="2"/>
  <c r="AQ129" i="2"/>
  <c r="AR129" i="2" s="1"/>
  <c r="AM14" i="2"/>
  <c r="AQ117" i="2"/>
  <c r="AR117" i="2" s="1"/>
  <c r="AM13" i="2"/>
  <c r="AQ105" i="2"/>
  <c r="AR105" i="2" s="1"/>
  <c r="AM11" i="2"/>
  <c r="AQ81" i="2"/>
  <c r="AR81" i="2" s="1"/>
  <c r="AM10" i="2"/>
  <c r="AQ69" i="2"/>
  <c r="AR69" i="2" s="1"/>
  <c r="AM9" i="2"/>
  <c r="AQ58" i="2"/>
  <c r="AR58" i="2" s="1"/>
  <c r="S23" i="9"/>
  <c r="D42" i="1"/>
  <c r="T25" i="6"/>
  <c r="V25" i="6"/>
  <c r="AQ4" i="2"/>
  <c r="AG4" i="2"/>
  <c r="AF5" i="2" s="1"/>
  <c r="D57" i="1"/>
  <c r="S38" i="9"/>
  <c r="S37" i="9"/>
  <c r="D56" i="1"/>
  <c r="S36" i="9"/>
  <c r="D55" i="1"/>
  <c r="S35" i="9"/>
  <c r="D54" i="1"/>
  <c r="S34" i="9"/>
  <c r="D53" i="1"/>
  <c r="S33" i="9"/>
  <c r="D52" i="1"/>
  <c r="D51" i="1"/>
  <c r="S32" i="9"/>
  <c r="D50" i="1"/>
  <c r="S31" i="9"/>
  <c r="B27" i="10"/>
  <c r="K27" i="10" s="1"/>
  <c r="M27" i="10"/>
  <c r="AD11" i="6"/>
  <c r="AC14" i="6"/>
  <c r="H28" i="10" s="1"/>
  <c r="R27" i="9"/>
  <c r="J27" i="9"/>
  <c r="O27" i="9" s="1"/>
  <c r="AD6" i="6"/>
  <c r="AC9" i="6"/>
  <c r="L28" i="9" s="1"/>
  <c r="AA153" i="2"/>
  <c r="AE153" i="2" s="1"/>
  <c r="U153" i="2"/>
  <c r="W153" i="2" s="1"/>
  <c r="Y153" i="2" s="1"/>
  <c r="AK17" i="2" s="1"/>
  <c r="AL17" i="2"/>
  <c r="U93" i="2"/>
  <c r="W93" i="2" s="1"/>
  <c r="Y93" i="2" s="1"/>
  <c r="AK12" i="2" s="1"/>
  <c r="AA93" i="2"/>
  <c r="AE93" i="2" s="1"/>
  <c r="AL12" i="2"/>
  <c r="T63" i="1" l="1"/>
  <c r="V63" i="1" s="1"/>
  <c r="Z63" i="1"/>
  <c r="Z62" i="1"/>
  <c r="T62" i="1"/>
  <c r="V62" i="1" s="1"/>
  <c r="W11" i="6"/>
  <c r="P58" i="1"/>
  <c r="R58" i="1" s="1"/>
  <c r="I58" i="1"/>
  <c r="AQ165" i="2"/>
  <c r="AR165" i="2" s="1"/>
  <c r="AM18" i="2"/>
  <c r="W8" i="6"/>
  <c r="W13" i="6"/>
  <c r="W15" i="6"/>
  <c r="W14" i="6"/>
  <c r="I61" i="1"/>
  <c r="P61" i="1"/>
  <c r="R61" i="1" s="1"/>
  <c r="I59" i="1"/>
  <c r="P59" i="1"/>
  <c r="R59" i="1" s="1"/>
  <c r="W18" i="6"/>
  <c r="W10" i="6"/>
  <c r="W17" i="6"/>
  <c r="W16" i="6"/>
  <c r="W7" i="6"/>
  <c r="W9" i="6"/>
  <c r="W12" i="6"/>
  <c r="D60" i="1"/>
  <c r="O41" i="10"/>
  <c r="J45" i="2"/>
  <c r="X45" i="2" s="1"/>
  <c r="Q45" i="2"/>
  <c r="Z45" i="1"/>
  <c r="T45" i="1"/>
  <c r="T44" i="1"/>
  <c r="Z44" i="1"/>
  <c r="J44" i="2"/>
  <c r="X44" i="2" s="1"/>
  <c r="Q44" i="2"/>
  <c r="S44" i="2" s="1"/>
  <c r="T43" i="1"/>
  <c r="Z43" i="1"/>
  <c r="J43" i="2"/>
  <c r="X43" i="2" s="1"/>
  <c r="Q43" i="2"/>
  <c r="S43" i="2" s="1"/>
  <c r="Z41" i="1"/>
  <c r="T41" i="1"/>
  <c r="J41" i="2"/>
  <c r="X41" i="2" s="1"/>
  <c r="Q41" i="2"/>
  <c r="S41" i="2" s="1"/>
  <c r="J40" i="2"/>
  <c r="X40" i="2" s="1"/>
  <c r="Q40" i="2"/>
  <c r="S40" i="2" s="1"/>
  <c r="Z40" i="1"/>
  <c r="T40" i="1"/>
  <c r="J39" i="2"/>
  <c r="X39" i="2" s="1"/>
  <c r="Q39" i="2"/>
  <c r="S39" i="2" s="1"/>
  <c r="Z39" i="1"/>
  <c r="T39" i="1"/>
  <c r="T38" i="1"/>
  <c r="Z38" i="1"/>
  <c r="J38" i="2"/>
  <c r="X38" i="2" s="1"/>
  <c r="Q38" i="2"/>
  <c r="S38" i="2" s="1"/>
  <c r="J37" i="2"/>
  <c r="X37" i="2" s="1"/>
  <c r="Q37" i="2"/>
  <c r="S37" i="2" s="1"/>
  <c r="T37" i="1"/>
  <c r="Z37" i="1"/>
  <c r="Z36" i="1"/>
  <c r="T36" i="1"/>
  <c r="J36" i="2"/>
  <c r="X36" i="2" s="1"/>
  <c r="Q36" i="2"/>
  <c r="S36" i="2" s="1"/>
  <c r="J35" i="2"/>
  <c r="X35" i="2" s="1"/>
  <c r="Q35" i="2"/>
  <c r="T35" i="1"/>
  <c r="Z35" i="1"/>
  <c r="Z34" i="1"/>
  <c r="T34" i="1"/>
  <c r="J34" i="2"/>
  <c r="X34" i="2" s="1"/>
  <c r="Q34" i="2"/>
  <c r="S34" i="2" s="1"/>
  <c r="S33" i="2"/>
  <c r="T32" i="1"/>
  <c r="Z32" i="1"/>
  <c r="J32" i="2"/>
  <c r="X32" i="2" s="1"/>
  <c r="Q32" i="2"/>
  <c r="S32" i="2" s="1"/>
  <c r="J31" i="2"/>
  <c r="X31" i="2" s="1"/>
  <c r="Q31" i="2"/>
  <c r="S31" i="2" s="1"/>
  <c r="Z31" i="1"/>
  <c r="T31" i="1"/>
  <c r="Z30" i="1"/>
  <c r="T30" i="1"/>
  <c r="J30" i="2"/>
  <c r="X30" i="2" s="1"/>
  <c r="Q30" i="2"/>
  <c r="S30" i="2" s="1"/>
  <c r="Z29" i="1"/>
  <c r="T29" i="1"/>
  <c r="J29" i="2"/>
  <c r="X29" i="2" s="1"/>
  <c r="Q29" i="2"/>
  <c r="S29" i="2" s="1"/>
  <c r="Z28" i="1"/>
  <c r="T28" i="1"/>
  <c r="J28" i="2"/>
  <c r="X28" i="2" s="1"/>
  <c r="Q28" i="2"/>
  <c r="S28" i="2" s="1"/>
  <c r="Z27" i="1"/>
  <c r="T27" i="1"/>
  <c r="J27" i="2"/>
  <c r="X27" i="2" s="1"/>
  <c r="Q27" i="2"/>
  <c r="S27" i="2" s="1"/>
  <c r="T26" i="1"/>
  <c r="Z26" i="1"/>
  <c r="J26" i="2"/>
  <c r="X26" i="2" s="1"/>
  <c r="Q26" i="2"/>
  <c r="S26" i="2" s="1"/>
  <c r="T25" i="1"/>
  <c r="Z25" i="1"/>
  <c r="J25" i="2"/>
  <c r="X25" i="2" s="1"/>
  <c r="Q25" i="2"/>
  <c r="S25" i="2" s="1"/>
  <c r="Z24" i="1"/>
  <c r="T24" i="1"/>
  <c r="J24" i="2"/>
  <c r="X24" i="2" s="1"/>
  <c r="Q24" i="2"/>
  <c r="S24" i="2" s="1"/>
  <c r="T23" i="1"/>
  <c r="Z23" i="1"/>
  <c r="J23" i="2"/>
  <c r="X23" i="2" s="1"/>
  <c r="Q23" i="2"/>
  <c r="F14" i="3"/>
  <c r="L5" i="2"/>
  <c r="K5" i="2" s="1"/>
  <c r="AD5" i="2" s="1"/>
  <c r="AE5" i="2" s="1"/>
  <c r="K5" i="1"/>
  <c r="J5" i="1" s="1"/>
  <c r="AD5" i="1" s="1"/>
  <c r="AE5" i="1" s="1"/>
  <c r="AG5" i="1" s="1"/>
  <c r="AF6" i="1" s="1"/>
  <c r="D42" i="2"/>
  <c r="I42" i="1"/>
  <c r="W42" i="1" s="1"/>
  <c r="AA42" i="1" s="1"/>
  <c r="P42" i="1"/>
  <c r="R42" i="1" s="1"/>
  <c r="AR4" i="2"/>
  <c r="I57" i="1"/>
  <c r="P57" i="1"/>
  <c r="R57" i="1" s="1"/>
  <c r="D57" i="2"/>
  <c r="I56" i="1"/>
  <c r="W63" i="1" s="1"/>
  <c r="P56" i="1"/>
  <c r="R56" i="1" s="1"/>
  <c r="D56" i="2"/>
  <c r="I55" i="1"/>
  <c r="W62" i="1" s="1"/>
  <c r="P55" i="1"/>
  <c r="R55" i="1" s="1"/>
  <c r="D55" i="2"/>
  <c r="I54" i="1"/>
  <c r="W61" i="1" s="1"/>
  <c r="AA61" i="1" s="1"/>
  <c r="P54" i="1"/>
  <c r="R54" i="1" s="1"/>
  <c r="D54" i="2"/>
  <c r="I53" i="1"/>
  <c r="W60" i="1" s="1"/>
  <c r="AA60" i="1" s="1"/>
  <c r="P53" i="1"/>
  <c r="R53" i="1" s="1"/>
  <c r="D53" i="2"/>
  <c r="I52" i="1"/>
  <c r="W59" i="1" s="1"/>
  <c r="AA59" i="1" s="1"/>
  <c r="P52" i="1"/>
  <c r="R52" i="1" s="1"/>
  <c r="D52" i="2"/>
  <c r="I51" i="1"/>
  <c r="P51" i="1"/>
  <c r="R51" i="1" s="1"/>
  <c r="D51" i="2"/>
  <c r="D50" i="2"/>
  <c r="I50" i="1"/>
  <c r="W50" i="1" s="1"/>
  <c r="AA50" i="1" s="1"/>
  <c r="P50" i="1"/>
  <c r="R50" i="1" s="1"/>
  <c r="L27" i="10"/>
  <c r="N27" i="10" s="1"/>
  <c r="O27" i="10" s="1"/>
  <c r="AE11" i="6"/>
  <c r="AD14" i="6"/>
  <c r="H29" i="10" s="1"/>
  <c r="M28" i="10"/>
  <c r="B28" i="10"/>
  <c r="K28" i="10" s="1"/>
  <c r="Q27" i="9"/>
  <c r="P27" i="9"/>
  <c r="AE6" i="6"/>
  <c r="AD9" i="6"/>
  <c r="L29" i="9" s="1"/>
  <c r="R28" i="9"/>
  <c r="J28" i="9"/>
  <c r="O28" i="9" s="1"/>
  <c r="AM17" i="2"/>
  <c r="AQ153" i="2"/>
  <c r="AR153" i="2" s="1"/>
  <c r="AM12" i="2"/>
  <c r="AQ93" i="2"/>
  <c r="AR93" i="2" s="1"/>
  <c r="Z61" i="1" l="1"/>
  <c r="AE61" i="1" s="1"/>
  <c r="T61" i="1"/>
  <c r="V61" i="1" s="1"/>
  <c r="X61" i="1" s="1"/>
  <c r="X63" i="1"/>
  <c r="AA63" i="1"/>
  <c r="AE63" i="1" s="1"/>
  <c r="X62" i="1"/>
  <c r="AA62" i="1"/>
  <c r="AE62" i="1" s="1"/>
  <c r="T58" i="1"/>
  <c r="V58" i="1" s="1"/>
  <c r="Z58" i="1"/>
  <c r="Z59" i="1"/>
  <c r="AE59" i="1" s="1"/>
  <c r="T59" i="1"/>
  <c r="V59" i="1" s="1"/>
  <c r="X59" i="1" s="1"/>
  <c r="P60" i="1"/>
  <c r="R60" i="1" s="1"/>
  <c r="I60" i="1"/>
  <c r="S45" i="2"/>
  <c r="U44" i="2"/>
  <c r="AA44" i="2"/>
  <c r="U43" i="2"/>
  <c r="AA43" i="2"/>
  <c r="U41" i="2"/>
  <c r="AA41" i="2"/>
  <c r="U40" i="2"/>
  <c r="AA40" i="2"/>
  <c r="U39" i="2"/>
  <c r="AA39" i="2"/>
  <c r="U38" i="2"/>
  <c r="AA38" i="2"/>
  <c r="U37" i="2"/>
  <c r="AA37" i="2"/>
  <c r="U36" i="2"/>
  <c r="AA36" i="2"/>
  <c r="U34" i="2"/>
  <c r="AA34" i="2"/>
  <c r="U33" i="2"/>
  <c r="AA33" i="2"/>
  <c r="U32" i="2"/>
  <c r="AA32" i="2"/>
  <c r="U31" i="2"/>
  <c r="AA31" i="2"/>
  <c r="U30" i="2"/>
  <c r="AA30" i="2"/>
  <c r="U29" i="2"/>
  <c r="AA29" i="2"/>
  <c r="U28" i="2"/>
  <c r="AA28" i="2"/>
  <c r="U27" i="2"/>
  <c r="AA27" i="2"/>
  <c r="U26" i="2"/>
  <c r="AA26" i="2"/>
  <c r="U25" i="2"/>
  <c r="AA25" i="2"/>
  <c r="U24" i="2"/>
  <c r="AA24" i="2"/>
  <c r="AJ6" i="2"/>
  <c r="S23" i="2"/>
  <c r="C15" i="3"/>
  <c r="AG5" i="2"/>
  <c r="AF6" i="2" s="1"/>
  <c r="AQ5" i="2"/>
  <c r="J42" i="2"/>
  <c r="X42" i="2" s="1"/>
  <c r="Q42" i="2"/>
  <c r="Z42" i="1"/>
  <c r="T42" i="1"/>
  <c r="T57" i="1"/>
  <c r="V57" i="1" s="1"/>
  <c r="Z57" i="1"/>
  <c r="J57" i="2"/>
  <c r="Q57" i="2"/>
  <c r="S57" i="2" s="1"/>
  <c r="T56" i="1"/>
  <c r="V56" i="1" s="1"/>
  <c r="Z56" i="1"/>
  <c r="J56" i="2"/>
  <c r="Q56" i="2"/>
  <c r="S56" i="2" s="1"/>
  <c r="T55" i="1"/>
  <c r="V55" i="1" s="1"/>
  <c r="Z55" i="1"/>
  <c r="J55" i="2"/>
  <c r="Q55" i="2"/>
  <c r="S55" i="2" s="1"/>
  <c r="T54" i="1"/>
  <c r="V54" i="1" s="1"/>
  <c r="Z54" i="1"/>
  <c r="J54" i="2"/>
  <c r="Q54" i="2"/>
  <c r="S54" i="2" s="1"/>
  <c r="T53" i="1"/>
  <c r="V53" i="1" s="1"/>
  <c r="Z53" i="1"/>
  <c r="J53" i="2"/>
  <c r="Q53" i="2"/>
  <c r="S53" i="2" s="1"/>
  <c r="T52" i="1"/>
  <c r="V52" i="1" s="1"/>
  <c r="Z52" i="1"/>
  <c r="J52" i="2"/>
  <c r="Q52" i="2"/>
  <c r="S52" i="2" s="1"/>
  <c r="W51" i="1"/>
  <c r="AA51" i="1" s="1"/>
  <c r="W53" i="1"/>
  <c r="AA53" i="1" s="1"/>
  <c r="W54" i="1"/>
  <c r="AA54" i="1" s="1"/>
  <c r="W55" i="1"/>
  <c r="AA55" i="1" s="1"/>
  <c r="W56" i="1"/>
  <c r="AA56" i="1" s="1"/>
  <c r="W57" i="1"/>
  <c r="AA57" i="1" s="1"/>
  <c r="W52" i="1"/>
  <c r="AA52" i="1" s="1"/>
  <c r="W58" i="1"/>
  <c r="AA58" i="1" s="1"/>
  <c r="T51" i="1"/>
  <c r="V51" i="1" s="1"/>
  <c r="Z51" i="1"/>
  <c r="J51" i="2"/>
  <c r="Q51" i="2"/>
  <c r="S51" i="2" s="1"/>
  <c r="J50" i="2"/>
  <c r="Q50" i="2"/>
  <c r="S50" i="2" s="1"/>
  <c r="T50" i="1"/>
  <c r="V50" i="1" s="1"/>
  <c r="X50" i="1" s="1"/>
  <c r="Z50" i="1"/>
  <c r="AE50" i="1" s="1"/>
  <c r="AF11" i="6"/>
  <c r="AF14" i="6" s="1"/>
  <c r="AE14" i="6"/>
  <c r="H30" i="10" s="1"/>
  <c r="B29" i="10"/>
  <c r="K29" i="10" s="1"/>
  <c r="M29" i="10"/>
  <c r="L28" i="10"/>
  <c r="N28" i="10"/>
  <c r="O28" i="10" s="1"/>
  <c r="S27" i="9"/>
  <c r="D46" i="1"/>
  <c r="AF6" i="6"/>
  <c r="AF9" i="6" s="1"/>
  <c r="AE9" i="6"/>
  <c r="L30" i="9" s="1"/>
  <c r="R29" i="9"/>
  <c r="J29" i="9"/>
  <c r="O29" i="9" s="1"/>
  <c r="Q28" i="9"/>
  <c r="P28" i="9"/>
  <c r="S35" i="2"/>
  <c r="X51" i="1" l="1"/>
  <c r="AE51" i="1"/>
  <c r="X56" i="1"/>
  <c r="S42" i="2"/>
  <c r="AL7" i="2" s="1"/>
  <c r="AJ7" i="2"/>
  <c r="X58" i="1"/>
  <c r="AE58" i="1"/>
  <c r="AE56" i="1"/>
  <c r="X55" i="1"/>
  <c r="X57" i="1"/>
  <c r="AE57" i="1"/>
  <c r="AE55" i="1"/>
  <c r="X54" i="1"/>
  <c r="AE54" i="1"/>
  <c r="X53" i="1"/>
  <c r="AE53" i="1"/>
  <c r="X52" i="1"/>
  <c r="AE52" i="1"/>
  <c r="T60" i="1"/>
  <c r="V60" i="1" s="1"/>
  <c r="X60" i="1" s="1"/>
  <c r="Z60" i="1"/>
  <c r="AE60" i="1" s="1"/>
  <c r="U45" i="2"/>
  <c r="AA45" i="2"/>
  <c r="AL6" i="2"/>
  <c r="U23" i="2"/>
  <c r="AA23" i="2"/>
  <c r="D15" i="3"/>
  <c r="M6" i="2"/>
  <c r="V6" i="2" s="1"/>
  <c r="W6" i="2" s="1"/>
  <c r="Y6" i="2" s="1"/>
  <c r="L6" i="1"/>
  <c r="U6" i="1" s="1"/>
  <c r="V6" i="1" s="1"/>
  <c r="X6" i="1" s="1"/>
  <c r="AR5" i="2"/>
  <c r="U57" i="2"/>
  <c r="W57" i="2" s="1"/>
  <c r="AA57" i="2"/>
  <c r="AE57" i="2" s="1"/>
  <c r="AQ57" i="2" s="1"/>
  <c r="AR57" i="2" s="1"/>
  <c r="U56" i="2"/>
  <c r="W56" i="2" s="1"/>
  <c r="AA56" i="2"/>
  <c r="AE56" i="2" s="1"/>
  <c r="AQ56" i="2" s="1"/>
  <c r="AR56" i="2" s="1"/>
  <c r="U55" i="2"/>
  <c r="W55" i="2" s="1"/>
  <c r="AA55" i="2"/>
  <c r="AE55" i="2" s="1"/>
  <c r="AQ55" i="2" s="1"/>
  <c r="AR55" i="2" s="1"/>
  <c r="U54" i="2"/>
  <c r="W54" i="2" s="1"/>
  <c r="AA54" i="2"/>
  <c r="AE54" i="2" s="1"/>
  <c r="AQ54" i="2" s="1"/>
  <c r="AR54" i="2" s="1"/>
  <c r="U53" i="2"/>
  <c r="W53" i="2" s="1"/>
  <c r="AA53" i="2"/>
  <c r="AE53" i="2" s="1"/>
  <c r="AQ53" i="2" s="1"/>
  <c r="AR53" i="2" s="1"/>
  <c r="U52" i="2"/>
  <c r="W52" i="2" s="1"/>
  <c r="AA52" i="2"/>
  <c r="AE52" i="2" s="1"/>
  <c r="AQ52" i="2" s="1"/>
  <c r="AR52" i="2" s="1"/>
  <c r="U51" i="2"/>
  <c r="W51" i="2" s="1"/>
  <c r="AA51" i="2"/>
  <c r="AE51" i="2" s="1"/>
  <c r="AQ51" i="2" s="1"/>
  <c r="AR51" i="2" s="1"/>
  <c r="U50" i="2"/>
  <c r="W50" i="2" s="1"/>
  <c r="AA50" i="2"/>
  <c r="AE50" i="2" s="1"/>
  <c r="AQ50" i="2" s="1"/>
  <c r="AR50" i="2" s="1"/>
  <c r="B30" i="10"/>
  <c r="K30" i="10" s="1"/>
  <c r="M30" i="10"/>
  <c r="L29" i="10"/>
  <c r="N29" i="10"/>
  <c r="O29" i="10" s="1"/>
  <c r="I46" i="1"/>
  <c r="W46" i="1" s="1"/>
  <c r="AA46" i="1" s="1"/>
  <c r="P46" i="1"/>
  <c r="R46" i="1" s="1"/>
  <c r="D46" i="2"/>
  <c r="R30" i="9"/>
  <c r="J30" i="9"/>
  <c r="O30" i="9" s="1"/>
  <c r="Q29" i="9"/>
  <c r="P29" i="9"/>
  <c r="S28" i="9"/>
  <c r="D47" i="1"/>
  <c r="AA35" i="2"/>
  <c r="U35" i="2"/>
  <c r="AA42" i="2" l="1"/>
  <c r="U42" i="2"/>
  <c r="F15" i="3"/>
  <c r="L6" i="2"/>
  <c r="K6" i="2" s="1"/>
  <c r="AD6" i="2" s="1"/>
  <c r="AE6" i="2" s="1"/>
  <c r="K6" i="1"/>
  <c r="J6" i="1" s="1"/>
  <c r="AD6" i="1" s="1"/>
  <c r="AE6" i="1" s="1"/>
  <c r="AG6" i="1" s="1"/>
  <c r="AF7" i="1" s="1"/>
  <c r="L30" i="10"/>
  <c r="N30" i="10" s="1"/>
  <c r="O30" i="10" s="1"/>
  <c r="T46" i="1"/>
  <c r="Z46" i="1"/>
  <c r="J46" i="2"/>
  <c r="X46" i="2" s="1"/>
  <c r="Q46" i="2"/>
  <c r="Q30" i="9"/>
  <c r="P30" i="9"/>
  <c r="D48" i="1"/>
  <c r="S29" i="9"/>
  <c r="P47" i="1"/>
  <c r="R47" i="1" s="1"/>
  <c r="I47" i="1"/>
  <c r="W47" i="1" s="1"/>
  <c r="AA47" i="1" s="1"/>
  <c r="D47" i="2"/>
  <c r="C16" i="3" l="1"/>
  <c r="AG6" i="2"/>
  <c r="AF7" i="2" s="1"/>
  <c r="AQ6" i="2"/>
  <c r="S46" i="2"/>
  <c r="S30" i="9"/>
  <c r="D49" i="1"/>
  <c r="I48" i="1"/>
  <c r="W48" i="1" s="1"/>
  <c r="AA48" i="1" s="1"/>
  <c r="P48" i="1"/>
  <c r="R48" i="1" s="1"/>
  <c r="D48" i="2"/>
  <c r="T47" i="1"/>
  <c r="Z47" i="1"/>
  <c r="J47" i="2"/>
  <c r="X47" i="2" s="1"/>
  <c r="Q47" i="2"/>
  <c r="D16" i="3" l="1"/>
  <c r="L7" i="1"/>
  <c r="U7" i="1" s="1"/>
  <c r="V7" i="1" s="1"/>
  <c r="X7" i="1" s="1"/>
  <c r="M7" i="2"/>
  <c r="V7" i="2" s="1"/>
  <c r="W7" i="2" s="1"/>
  <c r="Y7" i="2" s="1"/>
  <c r="AR6" i="2"/>
  <c r="U46" i="2"/>
  <c r="AA46" i="2"/>
  <c r="D49" i="2"/>
  <c r="I49" i="1"/>
  <c r="W49" i="1" s="1"/>
  <c r="AA49" i="1" s="1"/>
  <c r="P49" i="1"/>
  <c r="R49" i="1" s="1"/>
  <c r="Z48" i="1"/>
  <c r="T48" i="1"/>
  <c r="J48" i="2"/>
  <c r="Q48" i="2"/>
  <c r="S48" i="2" s="1"/>
  <c r="S47" i="2"/>
  <c r="F16" i="3" l="1"/>
  <c r="L7" i="2"/>
  <c r="K7" i="2" s="1"/>
  <c r="AD7" i="2" s="1"/>
  <c r="AE7" i="2" s="1"/>
  <c r="K7" i="1"/>
  <c r="J7" i="1" s="1"/>
  <c r="AD7" i="1" s="1"/>
  <c r="AE7" i="1" s="1"/>
  <c r="AG7" i="1" s="1"/>
  <c r="AF8" i="1" s="1"/>
  <c r="J49" i="2"/>
  <c r="Q49" i="2"/>
  <c r="Z49" i="1"/>
  <c r="T49" i="1"/>
  <c r="X48" i="2"/>
  <c r="X49" i="2"/>
  <c r="X50" i="2"/>
  <c r="Y50" i="2" s="1"/>
  <c r="X51" i="2"/>
  <c r="Y51" i="2" s="1"/>
  <c r="X52" i="2"/>
  <c r="Y52" i="2" s="1"/>
  <c r="X53" i="2"/>
  <c r="Y53" i="2" s="1"/>
  <c r="X54" i="2"/>
  <c r="Y54" i="2" s="1"/>
  <c r="X55" i="2"/>
  <c r="Y55" i="2" s="1"/>
  <c r="X56" i="2"/>
  <c r="Y56" i="2" s="1"/>
  <c r="X57" i="2"/>
  <c r="Y57" i="2" s="1"/>
  <c r="U48" i="2"/>
  <c r="AA48" i="2"/>
  <c r="AA47" i="2"/>
  <c r="U47" i="2"/>
  <c r="C17" i="3" l="1"/>
  <c r="AG7" i="2"/>
  <c r="AF8" i="2" s="1"/>
  <c r="AQ7" i="2"/>
  <c r="AJ8" i="2"/>
  <c r="S49" i="2"/>
  <c r="D17" i="3" l="1"/>
  <c r="L8" i="1"/>
  <c r="U8" i="1" s="1"/>
  <c r="V8" i="1" s="1"/>
  <c r="X8" i="1" s="1"/>
  <c r="M8" i="2"/>
  <c r="V8" i="2" s="1"/>
  <c r="W8" i="2" s="1"/>
  <c r="Y8" i="2" s="1"/>
  <c r="AR7" i="2"/>
  <c r="AL8" i="2"/>
  <c r="U49" i="2"/>
  <c r="AA49" i="2"/>
  <c r="F17" i="3" l="1"/>
  <c r="L8" i="2"/>
  <c r="K8" i="2" s="1"/>
  <c r="AD8" i="2" s="1"/>
  <c r="AE8" i="2" s="1"/>
  <c r="K8" i="1"/>
  <c r="J8" i="1" s="1"/>
  <c r="AD8" i="1" s="1"/>
  <c r="AE8" i="1" s="1"/>
  <c r="AG8" i="1" s="1"/>
  <c r="AF9" i="1" s="1"/>
  <c r="C18" i="3" l="1"/>
  <c r="AG8" i="2"/>
  <c r="AF9" i="2" s="1"/>
  <c r="AQ8" i="2"/>
  <c r="AR8" i="2" s="1"/>
  <c r="D18" i="3" l="1"/>
  <c r="L9" i="1"/>
  <c r="U9" i="1" s="1"/>
  <c r="V9" i="1" s="1"/>
  <c r="X9" i="1" s="1"/>
  <c r="M9" i="2"/>
  <c r="V9" i="2" s="1"/>
  <c r="W9" i="2" s="1"/>
  <c r="Y9" i="2" s="1"/>
  <c r="F18" i="3" l="1"/>
  <c r="L9" i="2"/>
  <c r="K9" i="2" s="1"/>
  <c r="AD9" i="2" s="1"/>
  <c r="AE9" i="2" s="1"/>
  <c r="K9" i="1"/>
  <c r="J9" i="1" s="1"/>
  <c r="AD9" i="1" s="1"/>
  <c r="AE9" i="1" s="1"/>
  <c r="AG9" i="1" s="1"/>
  <c r="AF10" i="1" s="1"/>
  <c r="C19" i="3" l="1"/>
  <c r="AG9" i="2"/>
  <c r="AF10" i="2" s="1"/>
  <c r="AQ9" i="2"/>
  <c r="AR9" i="2" s="1"/>
  <c r="D19" i="3" l="1"/>
  <c r="L10" i="1"/>
  <c r="U10" i="1" s="1"/>
  <c r="V10" i="1" s="1"/>
  <c r="X10" i="1" s="1"/>
  <c r="M10" i="2"/>
  <c r="V10" i="2" s="1"/>
  <c r="W10" i="2" s="1"/>
  <c r="Y10" i="2" s="1"/>
  <c r="F19" i="3" l="1"/>
  <c r="L10" i="2"/>
  <c r="K10" i="2" s="1"/>
  <c r="AD10" i="2" s="1"/>
  <c r="AE10" i="2" s="1"/>
  <c r="K10" i="1"/>
  <c r="J10" i="1" s="1"/>
  <c r="AD10" i="1" s="1"/>
  <c r="AE10" i="1" s="1"/>
  <c r="AG10" i="1" s="1"/>
  <c r="AF11" i="1" s="1"/>
  <c r="C20" i="3" l="1"/>
  <c r="AG10" i="2"/>
  <c r="AF11" i="2" s="1"/>
  <c r="AQ10" i="2"/>
  <c r="AR10" i="2" s="1"/>
  <c r="D20" i="3" l="1"/>
  <c r="L11" i="1"/>
  <c r="U11" i="1" s="1"/>
  <c r="V11" i="1" s="1"/>
  <c r="X11" i="1" s="1"/>
  <c r="M11" i="2"/>
  <c r="V11" i="2" s="1"/>
  <c r="W11" i="2" s="1"/>
  <c r="Y11" i="2" s="1"/>
  <c r="F20" i="3" l="1"/>
  <c r="L11" i="2"/>
  <c r="K11" i="2" s="1"/>
  <c r="AD11" i="2" s="1"/>
  <c r="AE11" i="2" s="1"/>
  <c r="K11" i="1"/>
  <c r="J11" i="1" s="1"/>
  <c r="AD11" i="1" s="1"/>
  <c r="AE11" i="1" s="1"/>
  <c r="AG11" i="1" s="1"/>
  <c r="AF12" i="1" s="1"/>
  <c r="C21" i="3" l="1"/>
  <c r="AG11" i="2"/>
  <c r="AF12" i="2" s="1"/>
  <c r="AQ11" i="2"/>
  <c r="AR11" i="2" s="1"/>
  <c r="D21" i="3" l="1"/>
  <c r="L12" i="1"/>
  <c r="U12" i="1" s="1"/>
  <c r="V12" i="1" s="1"/>
  <c r="X12" i="1" s="1"/>
  <c r="M12" i="2"/>
  <c r="V12" i="2" s="1"/>
  <c r="W12" i="2" s="1"/>
  <c r="Y12" i="2" s="1"/>
  <c r="F21" i="3" l="1"/>
  <c r="L12" i="2"/>
  <c r="K12" i="2" s="1"/>
  <c r="AD12" i="2" s="1"/>
  <c r="AE12" i="2" s="1"/>
  <c r="K12" i="1"/>
  <c r="J12" i="1" s="1"/>
  <c r="AD12" i="1" s="1"/>
  <c r="AE12" i="1" s="1"/>
  <c r="AG12" i="1" s="1"/>
  <c r="AF13" i="1" s="1"/>
  <c r="C22" i="3" l="1"/>
  <c r="AG12" i="2"/>
  <c r="AF13" i="2" s="1"/>
  <c r="AQ12" i="2"/>
  <c r="AR12" i="2" s="1"/>
  <c r="D22" i="3" l="1"/>
  <c r="L13" i="1"/>
  <c r="U13" i="1" s="1"/>
  <c r="V13" i="1" s="1"/>
  <c r="X13" i="1" s="1"/>
  <c r="M13" i="2"/>
  <c r="V13" i="2" s="1"/>
  <c r="W13" i="2" s="1"/>
  <c r="Y13" i="2" s="1"/>
  <c r="F22" i="3" l="1"/>
  <c r="L13" i="2"/>
  <c r="K13" i="2" s="1"/>
  <c r="AD13" i="2" s="1"/>
  <c r="AE13" i="2" s="1"/>
  <c r="K13" i="1"/>
  <c r="J13" i="1" s="1"/>
  <c r="AD13" i="1" s="1"/>
  <c r="AE13" i="1" s="1"/>
  <c r="AG13" i="1" s="1"/>
  <c r="AF14" i="1" s="1"/>
  <c r="C23" i="3" l="1"/>
  <c r="AG13" i="2"/>
  <c r="AF14" i="2" s="1"/>
  <c r="AQ13" i="2"/>
  <c r="AR13" i="2" s="1"/>
  <c r="D23" i="3" l="1"/>
  <c r="L14" i="1"/>
  <c r="U14" i="1" s="1"/>
  <c r="V14" i="1" s="1"/>
  <c r="X14" i="1" s="1"/>
  <c r="M14" i="2"/>
  <c r="V14" i="2" s="1"/>
  <c r="W14" i="2" s="1"/>
  <c r="Y14" i="2" s="1"/>
  <c r="F23" i="3" l="1"/>
  <c r="L14" i="2"/>
  <c r="K14" i="2" s="1"/>
  <c r="AD14" i="2" s="1"/>
  <c r="AE14" i="2" s="1"/>
  <c r="K14" i="1"/>
  <c r="J14" i="1" s="1"/>
  <c r="AD14" i="1" s="1"/>
  <c r="AE14" i="1" s="1"/>
  <c r="AG14" i="1" s="1"/>
  <c r="AF15" i="1" s="1"/>
  <c r="C24" i="3" l="1"/>
  <c r="AG14" i="2"/>
  <c r="AF15" i="2" s="1"/>
  <c r="AQ14" i="2"/>
  <c r="AR14" i="2" s="1"/>
  <c r="D24" i="3" l="1"/>
  <c r="L15" i="1"/>
  <c r="U15" i="1" s="1"/>
  <c r="V15" i="1" s="1"/>
  <c r="X15" i="1" s="1"/>
  <c r="M15" i="2"/>
  <c r="V15" i="2" s="1"/>
  <c r="W15" i="2" s="1"/>
  <c r="Y15" i="2" s="1"/>
  <c r="F24" i="3" l="1"/>
  <c r="L15" i="2"/>
  <c r="K15" i="2" s="1"/>
  <c r="AD15" i="2" s="1"/>
  <c r="AE15" i="2" s="1"/>
  <c r="K15" i="1"/>
  <c r="J15" i="1" s="1"/>
  <c r="AD15" i="1" s="1"/>
  <c r="AE15" i="1" s="1"/>
  <c r="AG15" i="1" s="1"/>
  <c r="AF16" i="1" s="1"/>
  <c r="C25" i="3" l="1"/>
  <c r="AG15" i="2"/>
  <c r="AF16" i="2" s="1"/>
  <c r="AQ15" i="2"/>
  <c r="AR15" i="2" s="1"/>
  <c r="D25" i="3" l="1"/>
  <c r="L16" i="1"/>
  <c r="U16" i="1" s="1"/>
  <c r="V16" i="1" s="1"/>
  <c r="X16" i="1" s="1"/>
  <c r="M16" i="2"/>
  <c r="V16" i="2" s="1"/>
  <c r="W16" i="2" s="1"/>
  <c r="Y16" i="2" s="1"/>
  <c r="F25" i="3" l="1"/>
  <c r="L16" i="2"/>
  <c r="K16" i="2" s="1"/>
  <c r="AD16" i="2" s="1"/>
  <c r="AE16" i="2" s="1"/>
  <c r="K16" i="1"/>
  <c r="J16" i="1" s="1"/>
  <c r="AD16" i="1" s="1"/>
  <c r="AE16" i="1" s="1"/>
  <c r="AG16" i="1" s="1"/>
  <c r="AF17" i="1" s="1"/>
  <c r="C26" i="3" l="1"/>
  <c r="AG16" i="2"/>
  <c r="AF17" i="2" s="1"/>
  <c r="AQ16" i="2"/>
  <c r="AR16" i="2" s="1"/>
  <c r="D26" i="3" l="1"/>
  <c r="L17" i="1"/>
  <c r="U17" i="1" s="1"/>
  <c r="V17" i="1" s="1"/>
  <c r="X17" i="1" s="1"/>
  <c r="M17" i="2"/>
  <c r="V17" i="2" s="1"/>
  <c r="W17" i="2" s="1"/>
  <c r="Y17" i="2" s="1"/>
  <c r="F26" i="3" l="1"/>
  <c r="L17" i="2"/>
  <c r="K17" i="2" s="1"/>
  <c r="AD17" i="2" s="1"/>
  <c r="AE17" i="2" s="1"/>
  <c r="K17" i="1"/>
  <c r="J17" i="1" s="1"/>
  <c r="AD17" i="1" s="1"/>
  <c r="AE17" i="1" s="1"/>
  <c r="AG17" i="1" s="1"/>
  <c r="AF18" i="1" s="1"/>
  <c r="C27" i="3" l="1"/>
  <c r="AG17" i="2"/>
  <c r="AF18" i="2" s="1"/>
  <c r="AQ17" i="2"/>
  <c r="AR17" i="2" s="1"/>
  <c r="D27" i="3" l="1"/>
  <c r="L18" i="1"/>
  <c r="U18" i="1" s="1"/>
  <c r="V18" i="1" s="1"/>
  <c r="X18" i="1" s="1"/>
  <c r="M18" i="2"/>
  <c r="V18" i="2" s="1"/>
  <c r="W18" i="2" s="1"/>
  <c r="Y18" i="2" s="1"/>
  <c r="F27" i="3" l="1"/>
  <c r="L18" i="2"/>
  <c r="K18" i="2" s="1"/>
  <c r="AD18" i="2" s="1"/>
  <c r="AE18" i="2" s="1"/>
  <c r="K18" i="1"/>
  <c r="J18" i="1" s="1"/>
  <c r="AD18" i="1" s="1"/>
  <c r="AE18" i="1" s="1"/>
  <c r="AG18" i="1" s="1"/>
  <c r="AF19" i="1" s="1"/>
  <c r="C28" i="3" l="1"/>
  <c r="AG18" i="2"/>
  <c r="AF19" i="2" s="1"/>
  <c r="AQ18" i="2"/>
  <c r="AR18" i="2" s="1"/>
  <c r="D28" i="3" l="1"/>
  <c r="L19" i="1"/>
  <c r="U19" i="1" s="1"/>
  <c r="V19" i="1" s="1"/>
  <c r="X19" i="1" s="1"/>
  <c r="M19" i="2"/>
  <c r="V19" i="2" s="1"/>
  <c r="W19" i="2" s="1"/>
  <c r="Y19" i="2" s="1"/>
  <c r="F28" i="3" l="1"/>
  <c r="L19" i="2"/>
  <c r="K19" i="2" s="1"/>
  <c r="AD19" i="2" s="1"/>
  <c r="AE19" i="2" s="1"/>
  <c r="K19" i="1"/>
  <c r="J19" i="1" s="1"/>
  <c r="AD19" i="1" s="1"/>
  <c r="AE19" i="1" s="1"/>
  <c r="AG19" i="1" s="1"/>
  <c r="AF20" i="1" s="1"/>
  <c r="C29" i="3" l="1"/>
  <c r="AG19" i="2"/>
  <c r="AF20" i="2" s="1"/>
  <c r="AQ19" i="2"/>
  <c r="AR19" i="2" s="1"/>
  <c r="D29" i="3" l="1"/>
  <c r="L20" i="1"/>
  <c r="U20" i="1" s="1"/>
  <c r="V20" i="1" s="1"/>
  <c r="X20" i="1" s="1"/>
  <c r="M20" i="2"/>
  <c r="V20" i="2" s="1"/>
  <c r="W20" i="2" s="1"/>
  <c r="Y20" i="2" s="1"/>
  <c r="F29" i="3" l="1"/>
  <c r="L20" i="2"/>
  <c r="K20" i="2" s="1"/>
  <c r="AD20" i="2" s="1"/>
  <c r="AE20" i="2" s="1"/>
  <c r="K20" i="1"/>
  <c r="J20" i="1" s="1"/>
  <c r="AD20" i="1" s="1"/>
  <c r="AE20" i="1" s="1"/>
  <c r="AG20" i="1" s="1"/>
  <c r="AF21" i="1" s="1"/>
  <c r="C30" i="3" l="1"/>
  <c r="AG20" i="2"/>
  <c r="AF21" i="2" s="1"/>
  <c r="AQ20" i="2"/>
  <c r="AR20" i="2" s="1"/>
  <c r="D30" i="3" l="1"/>
  <c r="M21" i="2"/>
  <c r="V21" i="2" s="1"/>
  <c r="W21" i="2" s="1"/>
  <c r="Y21" i="2" s="1"/>
  <c r="L21" i="1"/>
  <c r="U21" i="1" s="1"/>
  <c r="V21" i="1" s="1"/>
  <c r="X21" i="1" s="1"/>
  <c r="F30" i="3" l="1"/>
  <c r="L21" i="2"/>
  <c r="K21" i="2" s="1"/>
  <c r="AD21" i="2" s="1"/>
  <c r="AE21" i="2" s="1"/>
  <c r="K21" i="1"/>
  <c r="J21" i="1" s="1"/>
  <c r="AD21" i="1" s="1"/>
  <c r="AE21" i="1" s="1"/>
  <c r="AG21" i="1" s="1"/>
  <c r="AF22" i="1" s="1"/>
  <c r="C31" i="3" l="1"/>
  <c r="AG21" i="2"/>
  <c r="AF22" i="2" s="1"/>
  <c r="AQ21" i="2"/>
  <c r="AR21" i="2" s="1"/>
  <c r="D31" i="3" l="1"/>
  <c r="M22" i="2"/>
  <c r="V22" i="2" s="1"/>
  <c r="W22" i="2" s="1"/>
  <c r="Y22" i="2" s="1"/>
  <c r="L22" i="1"/>
  <c r="U22" i="1" s="1"/>
  <c r="V22" i="1" s="1"/>
  <c r="X22" i="1" s="1"/>
  <c r="F31" i="3" l="1"/>
  <c r="K22" i="1"/>
  <c r="J22" i="1" s="1"/>
  <c r="AD22" i="1" s="1"/>
  <c r="AE22" i="1" s="1"/>
  <c r="AG22" i="1" s="1"/>
  <c r="AF23" i="1" s="1"/>
  <c r="L22" i="2"/>
  <c r="K22" i="2" s="1"/>
  <c r="AD22" i="2" s="1"/>
  <c r="AE22" i="2" s="1"/>
  <c r="C32" i="3" l="1"/>
  <c r="AG22" i="2"/>
  <c r="AF23" i="2" s="1"/>
  <c r="AQ22" i="2"/>
  <c r="AR22" i="2" s="1"/>
  <c r="D32" i="3" l="1"/>
  <c r="M23" i="2"/>
  <c r="V23" i="2" s="1"/>
  <c r="W23" i="2" s="1"/>
  <c r="Y23" i="2" s="1"/>
  <c r="L23" i="1"/>
  <c r="U23" i="1" s="1"/>
  <c r="V23" i="1" s="1"/>
  <c r="X23" i="1" s="1"/>
  <c r="F32" i="3" l="1"/>
  <c r="L23" i="2"/>
  <c r="K23" i="2" s="1"/>
  <c r="AD23" i="2" s="1"/>
  <c r="AE23" i="2" s="1"/>
  <c r="K23" i="1"/>
  <c r="J23" i="1" s="1"/>
  <c r="AD23" i="1" s="1"/>
  <c r="AE23" i="1" s="1"/>
  <c r="AG23" i="1" s="1"/>
  <c r="AF24" i="1" s="1"/>
  <c r="C33" i="3" l="1"/>
  <c r="AG23" i="2"/>
  <c r="AF24" i="2" s="1"/>
  <c r="AQ23" i="2"/>
  <c r="AR23" i="2" s="1"/>
  <c r="D33" i="3" l="1"/>
  <c r="M24" i="2"/>
  <c r="V24" i="2" s="1"/>
  <c r="W24" i="2" s="1"/>
  <c r="Y24" i="2" s="1"/>
  <c r="L24" i="1"/>
  <c r="U24" i="1" s="1"/>
  <c r="V24" i="1" s="1"/>
  <c r="X24" i="1" s="1"/>
  <c r="F33" i="3" l="1"/>
  <c r="L24" i="2"/>
  <c r="K24" i="2" s="1"/>
  <c r="AD24" i="2" s="1"/>
  <c r="AE24" i="2" s="1"/>
  <c r="K24" i="1"/>
  <c r="J24" i="1" s="1"/>
  <c r="AD24" i="1" s="1"/>
  <c r="AE24" i="1" s="1"/>
  <c r="AG24" i="1" s="1"/>
  <c r="AF25" i="1" s="1"/>
  <c r="C34" i="3" l="1"/>
  <c r="AG24" i="2"/>
  <c r="AF25" i="2" s="1"/>
  <c r="AQ24" i="2"/>
  <c r="AR24" i="2" s="1"/>
  <c r="D34" i="3" l="1"/>
  <c r="M25" i="2"/>
  <c r="V25" i="2" s="1"/>
  <c r="W25" i="2" s="1"/>
  <c r="Y25" i="2" s="1"/>
  <c r="L25" i="1"/>
  <c r="U25" i="1" s="1"/>
  <c r="V25" i="1" s="1"/>
  <c r="X25" i="1" s="1"/>
  <c r="F34" i="3" l="1"/>
  <c r="K25" i="1"/>
  <c r="J25" i="1" s="1"/>
  <c r="AD25" i="1" s="1"/>
  <c r="AE25" i="1" s="1"/>
  <c r="AG25" i="1" s="1"/>
  <c r="AF26" i="1" s="1"/>
  <c r="L25" i="2"/>
  <c r="K25" i="2" s="1"/>
  <c r="AD25" i="2" s="1"/>
  <c r="AE25" i="2" s="1"/>
  <c r="C35" i="3" l="1"/>
  <c r="AG25" i="2"/>
  <c r="AF26" i="2" s="1"/>
  <c r="AQ25" i="2"/>
  <c r="AR25" i="2" s="1"/>
  <c r="D35" i="3" l="1"/>
  <c r="M26" i="2"/>
  <c r="V26" i="2" s="1"/>
  <c r="W26" i="2" s="1"/>
  <c r="Y26" i="2" s="1"/>
  <c r="L26" i="1"/>
  <c r="U26" i="1" s="1"/>
  <c r="V26" i="1" s="1"/>
  <c r="X26" i="1" s="1"/>
  <c r="F35" i="3" l="1"/>
  <c r="K26" i="1"/>
  <c r="J26" i="1" s="1"/>
  <c r="AD26" i="1" s="1"/>
  <c r="AE26" i="1" s="1"/>
  <c r="AG26" i="1" s="1"/>
  <c r="AF27" i="1" s="1"/>
  <c r="L26" i="2"/>
  <c r="K26" i="2" s="1"/>
  <c r="AD26" i="2" s="1"/>
  <c r="AE26" i="2" s="1"/>
  <c r="C36" i="3" l="1"/>
  <c r="AG26" i="2"/>
  <c r="AF27" i="2" s="1"/>
  <c r="AQ26" i="2"/>
  <c r="AR26" i="2" s="1"/>
  <c r="D36" i="3" l="1"/>
  <c r="M27" i="2"/>
  <c r="V27" i="2" s="1"/>
  <c r="W27" i="2" s="1"/>
  <c r="Y27" i="2" s="1"/>
  <c r="L27" i="1"/>
  <c r="U27" i="1" s="1"/>
  <c r="V27" i="1" s="1"/>
  <c r="X27" i="1" s="1"/>
  <c r="F36" i="3" l="1"/>
  <c r="K27" i="1"/>
  <c r="J27" i="1" s="1"/>
  <c r="AD27" i="1" s="1"/>
  <c r="AE27" i="1" s="1"/>
  <c r="AG27" i="1" s="1"/>
  <c r="AF28" i="1" s="1"/>
  <c r="L27" i="2"/>
  <c r="K27" i="2" s="1"/>
  <c r="AD27" i="2" s="1"/>
  <c r="AE27" i="2" s="1"/>
  <c r="C37" i="3" l="1"/>
  <c r="AG27" i="2"/>
  <c r="AF28" i="2" s="1"/>
  <c r="AQ27" i="2"/>
  <c r="AR27" i="2" s="1"/>
  <c r="D37" i="3" l="1"/>
  <c r="M28" i="2"/>
  <c r="V28" i="2" s="1"/>
  <c r="W28" i="2" s="1"/>
  <c r="Y28" i="2" s="1"/>
  <c r="L28" i="1"/>
  <c r="U28" i="1" s="1"/>
  <c r="V28" i="1" s="1"/>
  <c r="X28" i="1" s="1"/>
  <c r="F37" i="3" l="1"/>
  <c r="L28" i="2"/>
  <c r="K28" i="2" s="1"/>
  <c r="AD28" i="2" s="1"/>
  <c r="AE28" i="2" s="1"/>
  <c r="K28" i="1"/>
  <c r="J28" i="1" s="1"/>
  <c r="AD28" i="1" s="1"/>
  <c r="AE28" i="1" s="1"/>
  <c r="AG28" i="1" s="1"/>
  <c r="AF29" i="1" s="1"/>
  <c r="C38" i="3" l="1"/>
  <c r="AG28" i="2"/>
  <c r="AF29" i="2" s="1"/>
  <c r="AQ28" i="2"/>
  <c r="AR28" i="2" s="1"/>
  <c r="D38" i="3" l="1"/>
  <c r="M29" i="2"/>
  <c r="V29" i="2" s="1"/>
  <c r="W29" i="2" s="1"/>
  <c r="Y29" i="2" s="1"/>
  <c r="L29" i="1"/>
  <c r="U29" i="1" s="1"/>
  <c r="V29" i="1" s="1"/>
  <c r="X29" i="1" s="1"/>
  <c r="F38" i="3" l="1"/>
  <c r="L29" i="2"/>
  <c r="K29" i="2" s="1"/>
  <c r="AD29" i="2" s="1"/>
  <c r="AE29" i="2" s="1"/>
  <c r="K29" i="1"/>
  <c r="J29" i="1" s="1"/>
  <c r="AD29" i="1" s="1"/>
  <c r="AE29" i="1" s="1"/>
  <c r="AG29" i="1" s="1"/>
  <c r="AF30" i="1" s="1"/>
  <c r="C39" i="3" l="1"/>
  <c r="AG29" i="2"/>
  <c r="AF30" i="2" s="1"/>
  <c r="AQ29" i="2"/>
  <c r="AR29" i="2" s="1"/>
  <c r="D39" i="3" l="1"/>
  <c r="M30" i="2"/>
  <c r="V30" i="2" s="1"/>
  <c r="W30" i="2" s="1"/>
  <c r="Y30" i="2" s="1"/>
  <c r="L30" i="1"/>
  <c r="U30" i="1" s="1"/>
  <c r="V30" i="1" s="1"/>
  <c r="X30" i="1" s="1"/>
  <c r="F39" i="3" l="1"/>
  <c r="L30" i="2"/>
  <c r="K30" i="2" s="1"/>
  <c r="AD30" i="2" s="1"/>
  <c r="AE30" i="2" s="1"/>
  <c r="K30" i="1"/>
  <c r="J30" i="1" s="1"/>
  <c r="AD30" i="1" s="1"/>
  <c r="AE30" i="1" s="1"/>
  <c r="AG30" i="1" s="1"/>
  <c r="AF31" i="1" s="1"/>
  <c r="C40" i="3" l="1"/>
  <c r="AG30" i="2"/>
  <c r="AF31" i="2" s="1"/>
  <c r="AQ30" i="2"/>
  <c r="AR30" i="2" s="1"/>
  <c r="D40" i="3" l="1"/>
  <c r="M31" i="2"/>
  <c r="V31" i="2" s="1"/>
  <c r="W31" i="2" s="1"/>
  <c r="Y31" i="2" s="1"/>
  <c r="L31" i="1"/>
  <c r="U31" i="1" s="1"/>
  <c r="V31" i="1" s="1"/>
  <c r="X31" i="1" s="1"/>
  <c r="F40" i="3" l="1"/>
  <c r="L31" i="2"/>
  <c r="K31" i="2" s="1"/>
  <c r="AD31" i="2" s="1"/>
  <c r="AE31" i="2" s="1"/>
  <c r="K31" i="1"/>
  <c r="J31" i="1" s="1"/>
  <c r="AD31" i="1" s="1"/>
  <c r="AE31" i="1" s="1"/>
  <c r="AG31" i="1" s="1"/>
  <c r="AF32" i="1" s="1"/>
  <c r="C41" i="3" l="1"/>
  <c r="AG31" i="2"/>
  <c r="AF32" i="2" s="1"/>
  <c r="AQ31" i="2"/>
  <c r="AR31" i="2" s="1"/>
  <c r="D41" i="3" l="1"/>
  <c r="M32" i="2"/>
  <c r="V32" i="2" s="1"/>
  <c r="W32" i="2" s="1"/>
  <c r="Y32" i="2" s="1"/>
  <c r="L32" i="1"/>
  <c r="U32" i="1" s="1"/>
  <c r="V32" i="1" s="1"/>
  <c r="X32" i="1" s="1"/>
  <c r="F41" i="3" l="1"/>
  <c r="K32" i="1"/>
  <c r="J32" i="1" s="1"/>
  <c r="AD32" i="1" s="1"/>
  <c r="AE32" i="1" s="1"/>
  <c r="AG32" i="1" s="1"/>
  <c r="AF33" i="1" s="1"/>
  <c r="L32" i="2"/>
  <c r="K32" i="2" s="1"/>
  <c r="AD32" i="2" s="1"/>
  <c r="AE32" i="2" s="1"/>
  <c r="C42" i="3" l="1"/>
  <c r="AG32" i="2"/>
  <c r="AF33" i="2" s="1"/>
  <c r="AQ32" i="2"/>
  <c r="AR32" i="2" s="1"/>
  <c r="D42" i="3" l="1"/>
  <c r="M33" i="2"/>
  <c r="V33" i="2" s="1"/>
  <c r="W33" i="2" s="1"/>
  <c r="Y33" i="2" s="1"/>
  <c r="L33" i="1"/>
  <c r="U33" i="1" s="1"/>
  <c r="V33" i="1" s="1"/>
  <c r="X33" i="1" s="1"/>
  <c r="F42" i="3" l="1"/>
  <c r="K33" i="1"/>
  <c r="J33" i="1" s="1"/>
  <c r="AD33" i="1" s="1"/>
  <c r="AE33" i="1" s="1"/>
  <c r="AG33" i="1" s="1"/>
  <c r="AF34" i="1" s="1"/>
  <c r="L33" i="2"/>
  <c r="K33" i="2" s="1"/>
  <c r="AD33" i="2" s="1"/>
  <c r="AE33" i="2" s="1"/>
  <c r="C43" i="3" l="1"/>
  <c r="AG33" i="2"/>
  <c r="AF34" i="2" s="1"/>
  <c r="AQ33" i="2"/>
  <c r="AR33" i="2" s="1"/>
  <c r="D43" i="3" l="1"/>
  <c r="M34" i="2"/>
  <c r="V34" i="2" s="1"/>
  <c r="W34" i="2" s="1"/>
  <c r="Y34" i="2" s="1"/>
  <c r="L34" i="1"/>
  <c r="U34" i="1" s="1"/>
  <c r="V34" i="1" s="1"/>
  <c r="X34" i="1" s="1"/>
  <c r="F43" i="3" l="1"/>
  <c r="K34" i="1"/>
  <c r="J34" i="1" s="1"/>
  <c r="AD34" i="1" s="1"/>
  <c r="AE34" i="1" s="1"/>
  <c r="AG34" i="1" s="1"/>
  <c r="AF35" i="1" s="1"/>
  <c r="L34" i="2"/>
  <c r="K34" i="2" s="1"/>
  <c r="AD34" i="2" s="1"/>
  <c r="AE34" i="2" s="1"/>
  <c r="C44" i="3" l="1"/>
  <c r="AG34" i="2"/>
  <c r="AF35" i="2" s="1"/>
  <c r="AQ34" i="2"/>
  <c r="AR34" i="2" s="1"/>
  <c r="D44" i="3" l="1"/>
  <c r="M35" i="2"/>
  <c r="V35" i="2" s="1"/>
  <c r="W35" i="2" s="1"/>
  <c r="Y35" i="2" s="1"/>
  <c r="L35" i="1"/>
  <c r="U35" i="1" s="1"/>
  <c r="V35" i="1" s="1"/>
  <c r="X35" i="1" s="1"/>
  <c r="F44" i="3" l="1"/>
  <c r="K35" i="1"/>
  <c r="J35" i="1" s="1"/>
  <c r="AD35" i="1" s="1"/>
  <c r="AE35" i="1" s="1"/>
  <c r="AG35" i="1" s="1"/>
  <c r="AF36" i="1" s="1"/>
  <c r="L35" i="2"/>
  <c r="K35" i="2" s="1"/>
  <c r="AD35" i="2" s="1"/>
  <c r="AE35" i="2" s="1"/>
  <c r="C45" i="3" l="1"/>
  <c r="AG35" i="2"/>
  <c r="AF36" i="2" s="1"/>
  <c r="AQ35" i="2"/>
  <c r="AR35" i="2" s="1"/>
  <c r="D45" i="3" l="1"/>
  <c r="L36" i="1"/>
  <c r="U36" i="1" s="1"/>
  <c r="V36" i="1" s="1"/>
  <c r="X36" i="1" s="1"/>
  <c r="M36" i="2"/>
  <c r="V36" i="2" s="1"/>
  <c r="W36" i="2" s="1"/>
  <c r="Y36" i="2" s="1"/>
  <c r="F45" i="3" l="1"/>
  <c r="K36" i="1"/>
  <c r="J36" i="1" s="1"/>
  <c r="AD36" i="1" s="1"/>
  <c r="AE36" i="1" s="1"/>
  <c r="AG36" i="1" s="1"/>
  <c r="AF37" i="1" s="1"/>
  <c r="L36" i="2"/>
  <c r="K36" i="2" s="1"/>
  <c r="AD36" i="2" s="1"/>
  <c r="AE36" i="2" s="1"/>
  <c r="C46" i="3" l="1"/>
  <c r="AG36" i="2"/>
  <c r="AF37" i="2" s="1"/>
  <c r="AQ36" i="2"/>
  <c r="AR36" i="2" s="1"/>
  <c r="D46" i="3" l="1"/>
  <c r="M37" i="2"/>
  <c r="V37" i="2" s="1"/>
  <c r="W37" i="2" s="1"/>
  <c r="Y37" i="2" s="1"/>
  <c r="L37" i="1"/>
  <c r="U37" i="1" s="1"/>
  <c r="V37" i="1" s="1"/>
  <c r="X37" i="1" s="1"/>
  <c r="F46" i="3" l="1"/>
  <c r="K37" i="1"/>
  <c r="J37" i="1" s="1"/>
  <c r="AD37" i="1" s="1"/>
  <c r="AE37" i="1" s="1"/>
  <c r="AG37" i="1" s="1"/>
  <c r="AF38" i="1" s="1"/>
  <c r="L37" i="2"/>
  <c r="K37" i="2" s="1"/>
  <c r="AD37" i="2" s="1"/>
  <c r="AE37" i="2" s="1"/>
  <c r="C47" i="3" l="1"/>
  <c r="AG37" i="2"/>
  <c r="AF38" i="2" s="1"/>
  <c r="AQ37" i="2"/>
  <c r="AR37" i="2" s="1"/>
  <c r="D47" i="3" l="1"/>
  <c r="M38" i="2"/>
  <c r="V38" i="2" s="1"/>
  <c r="W38" i="2" s="1"/>
  <c r="Y38" i="2" s="1"/>
  <c r="L38" i="1"/>
  <c r="U38" i="1" s="1"/>
  <c r="V38" i="1" s="1"/>
  <c r="X38" i="1" s="1"/>
  <c r="F47" i="3" l="1"/>
  <c r="K38" i="1"/>
  <c r="J38" i="1" s="1"/>
  <c r="AD38" i="1" s="1"/>
  <c r="AE38" i="1" s="1"/>
  <c r="AG38" i="1" s="1"/>
  <c r="AF39" i="1" s="1"/>
  <c r="L38" i="2"/>
  <c r="K38" i="2" s="1"/>
  <c r="AD38" i="2" s="1"/>
  <c r="AE38" i="2" s="1"/>
  <c r="C48" i="3" l="1"/>
  <c r="AG38" i="2"/>
  <c r="AF39" i="2" s="1"/>
  <c r="AQ38" i="2"/>
  <c r="AR38" i="2" s="1"/>
  <c r="D48" i="3" l="1"/>
  <c r="L39" i="1"/>
  <c r="U39" i="1" s="1"/>
  <c r="V39" i="1" s="1"/>
  <c r="X39" i="1" s="1"/>
  <c r="M39" i="2"/>
  <c r="V39" i="2" s="1"/>
  <c r="W39" i="2" s="1"/>
  <c r="Y39" i="2" s="1"/>
  <c r="F48" i="3" l="1"/>
  <c r="K39" i="1"/>
  <c r="J39" i="1" s="1"/>
  <c r="AD39" i="1" s="1"/>
  <c r="AE39" i="1" s="1"/>
  <c r="AG39" i="1" s="1"/>
  <c r="AF40" i="1" s="1"/>
  <c r="L39" i="2"/>
  <c r="K39" i="2" s="1"/>
  <c r="AD39" i="2" s="1"/>
  <c r="AE39" i="2" s="1"/>
  <c r="C49" i="3" l="1"/>
  <c r="AG39" i="2"/>
  <c r="AF40" i="2" s="1"/>
  <c r="AQ39" i="2"/>
  <c r="AR39" i="2" s="1"/>
  <c r="D49" i="3" l="1"/>
  <c r="M40" i="2"/>
  <c r="V40" i="2" s="1"/>
  <c r="W40" i="2" s="1"/>
  <c r="Y40" i="2" s="1"/>
  <c r="L40" i="1"/>
  <c r="U40" i="1" s="1"/>
  <c r="V40" i="1" s="1"/>
  <c r="X40" i="1" s="1"/>
  <c r="F49" i="3" l="1"/>
  <c r="K40" i="1"/>
  <c r="J40" i="1" s="1"/>
  <c r="AD40" i="1" s="1"/>
  <c r="AE40" i="1" s="1"/>
  <c r="AG40" i="1" s="1"/>
  <c r="AF41" i="1" s="1"/>
  <c r="L40" i="2"/>
  <c r="K40" i="2" s="1"/>
  <c r="AD40" i="2" s="1"/>
  <c r="AE40" i="2" s="1"/>
  <c r="C50" i="3" l="1"/>
  <c r="AG40" i="2"/>
  <c r="AF41" i="2" s="1"/>
  <c r="AQ40" i="2"/>
  <c r="AR40" i="2" s="1"/>
  <c r="D50" i="3" l="1"/>
  <c r="M41" i="2"/>
  <c r="V41" i="2" s="1"/>
  <c r="W41" i="2" s="1"/>
  <c r="Y41" i="2" s="1"/>
  <c r="L41" i="1"/>
  <c r="U41" i="1" s="1"/>
  <c r="V41" i="1" s="1"/>
  <c r="X41" i="1" s="1"/>
  <c r="F50" i="3" l="1"/>
  <c r="L41" i="2"/>
  <c r="K41" i="2" s="1"/>
  <c r="AD41" i="2" s="1"/>
  <c r="AE41" i="2" s="1"/>
  <c r="K41" i="1"/>
  <c r="J41" i="1" s="1"/>
  <c r="AD41" i="1" s="1"/>
  <c r="AE41" i="1" s="1"/>
  <c r="AG41" i="1" s="1"/>
  <c r="AF42" i="1" s="1"/>
  <c r="C51" i="3" l="1"/>
  <c r="AG41" i="2"/>
  <c r="AF42" i="2" s="1"/>
  <c r="AQ41" i="2"/>
  <c r="AR41" i="2" s="1"/>
  <c r="D51" i="3" l="1"/>
  <c r="M42" i="2"/>
  <c r="V42" i="2" s="1"/>
  <c r="W42" i="2" s="1"/>
  <c r="Y42" i="2" s="1"/>
  <c r="L42" i="1"/>
  <c r="U42" i="1" s="1"/>
  <c r="V42" i="1" s="1"/>
  <c r="X42" i="1" s="1"/>
  <c r="F51" i="3" l="1"/>
  <c r="L42" i="2"/>
  <c r="K42" i="2" s="1"/>
  <c r="AD42" i="2" s="1"/>
  <c r="AE42" i="2" s="1"/>
  <c r="K42" i="1"/>
  <c r="J42" i="1" s="1"/>
  <c r="AD42" i="1" s="1"/>
  <c r="AE42" i="1" s="1"/>
  <c r="AG42" i="1" s="1"/>
  <c r="AF43" i="1" s="1"/>
  <c r="C52" i="3" l="1"/>
  <c r="AG42" i="2"/>
  <c r="AF43" i="2" s="1"/>
  <c r="AQ42" i="2"/>
  <c r="AR42" i="2" s="1"/>
  <c r="D52" i="3" l="1"/>
  <c r="M43" i="2"/>
  <c r="V43" i="2" s="1"/>
  <c r="W43" i="2" s="1"/>
  <c r="Y43" i="2" s="1"/>
  <c r="L43" i="1"/>
  <c r="U43" i="1" s="1"/>
  <c r="V43" i="1" s="1"/>
  <c r="X43" i="1" s="1"/>
  <c r="F52" i="3" l="1"/>
  <c r="K43" i="1"/>
  <c r="J43" i="1" s="1"/>
  <c r="AD43" i="1" s="1"/>
  <c r="AE43" i="1" s="1"/>
  <c r="AG43" i="1" s="1"/>
  <c r="AF44" i="1" s="1"/>
  <c r="L43" i="2"/>
  <c r="K43" i="2" s="1"/>
  <c r="AD43" i="2" s="1"/>
  <c r="AE43" i="2" s="1"/>
  <c r="C53" i="3" l="1"/>
  <c r="AG43" i="2"/>
  <c r="AF44" i="2" s="1"/>
  <c r="AQ43" i="2"/>
  <c r="AR43" i="2" s="1"/>
  <c r="D53" i="3" l="1"/>
  <c r="M44" i="2"/>
  <c r="V44" i="2" s="1"/>
  <c r="W44" i="2" s="1"/>
  <c r="Y44" i="2" s="1"/>
  <c r="L44" i="1"/>
  <c r="U44" i="1" s="1"/>
  <c r="V44" i="1" s="1"/>
  <c r="X44" i="1" s="1"/>
  <c r="F53" i="3" l="1"/>
  <c r="K44" i="1"/>
  <c r="J44" i="1" s="1"/>
  <c r="AD44" i="1" s="1"/>
  <c r="AE44" i="1" s="1"/>
  <c r="AG44" i="1" s="1"/>
  <c r="AF45" i="1" s="1"/>
  <c r="L44" i="2"/>
  <c r="K44" i="2" s="1"/>
  <c r="AD44" i="2" s="1"/>
  <c r="AE44" i="2" s="1"/>
  <c r="C54" i="3" l="1"/>
  <c r="AG44" i="2"/>
  <c r="AF45" i="2" s="1"/>
  <c r="AQ44" i="2"/>
  <c r="AR44" i="2" s="1"/>
  <c r="D54" i="3" l="1"/>
  <c r="M45" i="2"/>
  <c r="V45" i="2" s="1"/>
  <c r="W45" i="2" s="1"/>
  <c r="Y45" i="2" s="1"/>
  <c r="L45" i="1"/>
  <c r="U45" i="1" s="1"/>
  <c r="V45" i="1" s="1"/>
  <c r="X45" i="1" s="1"/>
  <c r="F54" i="3" l="1"/>
  <c r="L45" i="2"/>
  <c r="K45" i="2" s="1"/>
  <c r="AD45" i="2" s="1"/>
  <c r="AE45" i="2" s="1"/>
  <c r="K45" i="1"/>
  <c r="J45" i="1" s="1"/>
  <c r="AD45" i="1" s="1"/>
  <c r="AE45" i="1" s="1"/>
  <c r="AG45" i="1" s="1"/>
  <c r="AF46" i="1" s="1"/>
  <c r="C55" i="3" l="1"/>
  <c r="AG45" i="2"/>
  <c r="AF46" i="2" s="1"/>
  <c r="AQ45" i="2"/>
  <c r="AR45" i="2" s="1"/>
  <c r="D55" i="3" l="1"/>
  <c r="M46" i="2"/>
  <c r="V46" i="2" s="1"/>
  <c r="W46" i="2" s="1"/>
  <c r="Y46" i="2" s="1"/>
  <c r="L46" i="1"/>
  <c r="U46" i="1" s="1"/>
  <c r="V46" i="1" s="1"/>
  <c r="X46" i="1" s="1"/>
  <c r="F55" i="3" l="1"/>
  <c r="K46" i="1"/>
  <c r="J46" i="1" s="1"/>
  <c r="AD46" i="1" s="1"/>
  <c r="AE46" i="1" s="1"/>
  <c r="AG46" i="1" s="1"/>
  <c r="AF47" i="1" s="1"/>
  <c r="L46" i="2"/>
  <c r="K46" i="2" s="1"/>
  <c r="AD46" i="2" s="1"/>
  <c r="AE46" i="2" s="1"/>
  <c r="C56" i="3" l="1"/>
  <c r="AG46" i="2"/>
  <c r="AF47" i="2" s="1"/>
  <c r="AQ46" i="2"/>
  <c r="AR46" i="2" s="1"/>
  <c r="D56" i="3" l="1"/>
  <c r="L47" i="1"/>
  <c r="U47" i="1" s="1"/>
  <c r="V47" i="1" s="1"/>
  <c r="X47" i="1" s="1"/>
  <c r="M47" i="2"/>
  <c r="V47" i="2" s="1"/>
  <c r="W47" i="2" s="1"/>
  <c r="Y47" i="2" s="1"/>
  <c r="F56" i="3" l="1"/>
  <c r="K47" i="1"/>
  <c r="J47" i="1" s="1"/>
  <c r="AD47" i="1" s="1"/>
  <c r="AE47" i="1" s="1"/>
  <c r="AG47" i="1" s="1"/>
  <c r="AF48" i="1" s="1"/>
  <c r="L47" i="2"/>
  <c r="K47" i="2" s="1"/>
  <c r="AD47" i="2" s="1"/>
  <c r="AE47" i="2" s="1"/>
  <c r="C57" i="3" l="1"/>
  <c r="AG47" i="2"/>
  <c r="AF48" i="2" s="1"/>
  <c r="AQ47" i="2"/>
  <c r="AR47" i="2" s="1"/>
  <c r="D57" i="3" l="1"/>
  <c r="M48" i="2"/>
  <c r="L48" i="1"/>
  <c r="U48" i="1" s="1"/>
  <c r="V48" i="1" s="1"/>
  <c r="X48" i="1" s="1"/>
  <c r="F57" i="3" l="1"/>
  <c r="L48" i="2"/>
  <c r="K48" i="2" s="1"/>
  <c r="K48" i="1"/>
  <c r="J48" i="1" s="1"/>
  <c r="AD48" i="1" s="1"/>
  <c r="AE48" i="1" s="1"/>
  <c r="AG48" i="1" s="1"/>
  <c r="AF49" i="1" s="1"/>
  <c r="V48" i="2"/>
  <c r="W48" i="2" s="1"/>
  <c r="Y48" i="2" s="1"/>
  <c r="V49" i="2"/>
  <c r="W49" i="2" s="1"/>
  <c r="Y49" i="2" s="1"/>
  <c r="V50" i="2"/>
  <c r="V51" i="2"/>
  <c r="V52" i="2"/>
  <c r="V53" i="2"/>
  <c r="V54" i="2"/>
  <c r="V55" i="2"/>
  <c r="V56" i="2"/>
  <c r="V57" i="2"/>
  <c r="C58" i="3" l="1"/>
  <c r="AD48" i="2"/>
  <c r="AE48" i="2" s="1"/>
  <c r="AD49" i="2"/>
  <c r="AE49" i="2" s="1"/>
  <c r="AD50" i="2"/>
  <c r="AD51" i="2"/>
  <c r="AD52" i="2"/>
  <c r="AD53" i="2"/>
  <c r="AD54" i="2"/>
  <c r="AD55" i="2"/>
  <c r="AD56" i="2"/>
  <c r="AD57" i="2"/>
  <c r="AK8" i="2"/>
  <c r="AK7" i="2"/>
  <c r="AK6" i="2"/>
  <c r="AK5" i="2"/>
  <c r="AK4" i="2"/>
  <c r="D58" i="3" l="1"/>
  <c r="L49" i="1"/>
  <c r="U49" i="1" s="1"/>
  <c r="V49" i="1" s="1"/>
  <c r="X49" i="1" s="1"/>
  <c r="M49" i="2"/>
  <c r="AG48" i="2"/>
  <c r="AF49" i="2" s="1"/>
  <c r="AG49" i="2" s="1"/>
  <c r="AF50" i="2" s="1"/>
  <c r="AG50" i="2" s="1"/>
  <c r="AF51" i="2" s="1"/>
  <c r="AG51" i="2" s="1"/>
  <c r="AF52" i="2" s="1"/>
  <c r="AG52" i="2" s="1"/>
  <c r="AF53" i="2" s="1"/>
  <c r="AG53" i="2" s="1"/>
  <c r="AF54" i="2" s="1"/>
  <c r="AG54" i="2" s="1"/>
  <c r="AF55" i="2" s="1"/>
  <c r="AG55" i="2" s="1"/>
  <c r="AF56" i="2" s="1"/>
  <c r="AG56" i="2" s="1"/>
  <c r="AF57" i="2" s="1"/>
  <c r="AG57" i="2" s="1"/>
  <c r="AF58" i="2" s="1"/>
  <c r="AG58" i="2" s="1"/>
  <c r="AF59" i="2" s="1"/>
  <c r="AG59" i="2" s="1"/>
  <c r="AF60" i="2" s="1"/>
  <c r="AG60" i="2" s="1"/>
  <c r="AF61" i="2" s="1"/>
  <c r="AG61" i="2" s="1"/>
  <c r="AF62" i="2" s="1"/>
  <c r="AG62" i="2" s="1"/>
  <c r="AF63" i="2" s="1"/>
  <c r="AG63" i="2" s="1"/>
  <c r="AF64" i="2" s="1"/>
  <c r="AG64" i="2" s="1"/>
  <c r="AF65" i="2" s="1"/>
  <c r="AG65" i="2" s="1"/>
  <c r="AF66" i="2" s="1"/>
  <c r="AG66" i="2" s="1"/>
  <c r="AF67" i="2" s="1"/>
  <c r="AG67" i="2" s="1"/>
  <c r="AF68" i="2" s="1"/>
  <c r="AG68" i="2" s="1"/>
  <c r="AF69" i="2" s="1"/>
  <c r="AG69" i="2" s="1"/>
  <c r="AF70" i="2" s="1"/>
  <c r="AG70" i="2" s="1"/>
  <c r="AF71" i="2" s="1"/>
  <c r="AG71" i="2" s="1"/>
  <c r="AF72" i="2" s="1"/>
  <c r="AG72" i="2" s="1"/>
  <c r="AF73" i="2" s="1"/>
  <c r="AG73" i="2" s="1"/>
  <c r="AF74" i="2" s="1"/>
  <c r="AG74" i="2" s="1"/>
  <c r="AF75" i="2" s="1"/>
  <c r="AG75" i="2" s="1"/>
  <c r="AF76" i="2" s="1"/>
  <c r="AG76" i="2" s="1"/>
  <c r="AF77" i="2" s="1"/>
  <c r="AG77" i="2" s="1"/>
  <c r="AF78" i="2" s="1"/>
  <c r="AG78" i="2" s="1"/>
  <c r="AF79" i="2" s="1"/>
  <c r="AG79" i="2" s="1"/>
  <c r="AF80" i="2" s="1"/>
  <c r="AG80" i="2" s="1"/>
  <c r="AF81" i="2" s="1"/>
  <c r="AG81" i="2" s="1"/>
  <c r="AF82" i="2" s="1"/>
  <c r="AG82" i="2" s="1"/>
  <c r="AF83" i="2" s="1"/>
  <c r="AG83" i="2" s="1"/>
  <c r="AF84" i="2" s="1"/>
  <c r="AG84" i="2" s="1"/>
  <c r="AF85" i="2" s="1"/>
  <c r="AG85" i="2" s="1"/>
  <c r="AF86" i="2" s="1"/>
  <c r="AG86" i="2" s="1"/>
  <c r="AF87" i="2" s="1"/>
  <c r="AG87" i="2" s="1"/>
  <c r="AF88" i="2" s="1"/>
  <c r="AG88" i="2" s="1"/>
  <c r="AF89" i="2" s="1"/>
  <c r="AG89" i="2" s="1"/>
  <c r="AF90" i="2" s="1"/>
  <c r="AG90" i="2" s="1"/>
  <c r="AF91" i="2" s="1"/>
  <c r="AG91" i="2" s="1"/>
  <c r="AF92" i="2" s="1"/>
  <c r="AG92" i="2" s="1"/>
  <c r="AF93" i="2" s="1"/>
  <c r="AG93" i="2" s="1"/>
  <c r="AF94" i="2" s="1"/>
  <c r="AG94" i="2" s="1"/>
  <c r="AF95" i="2" s="1"/>
  <c r="AG95" i="2" s="1"/>
  <c r="AF96" i="2" s="1"/>
  <c r="AG96" i="2" s="1"/>
  <c r="AF97" i="2" s="1"/>
  <c r="AG97" i="2" s="1"/>
  <c r="AF98" i="2" s="1"/>
  <c r="AG98" i="2" s="1"/>
  <c r="AF99" i="2" s="1"/>
  <c r="AG99" i="2" s="1"/>
  <c r="AF100" i="2" s="1"/>
  <c r="AG100" i="2" s="1"/>
  <c r="AF101" i="2" s="1"/>
  <c r="AG101" i="2" s="1"/>
  <c r="AF102" i="2" s="1"/>
  <c r="AG102" i="2" s="1"/>
  <c r="AF103" i="2" s="1"/>
  <c r="AG103" i="2" s="1"/>
  <c r="AF104" i="2" s="1"/>
  <c r="AG104" i="2" s="1"/>
  <c r="AF105" i="2" s="1"/>
  <c r="AG105" i="2" s="1"/>
  <c r="AF106" i="2" s="1"/>
  <c r="AG106" i="2" s="1"/>
  <c r="AF107" i="2" s="1"/>
  <c r="AG107" i="2" s="1"/>
  <c r="AF108" i="2" s="1"/>
  <c r="AG108" i="2" s="1"/>
  <c r="AF109" i="2" s="1"/>
  <c r="AG109" i="2" s="1"/>
  <c r="AF110" i="2" s="1"/>
  <c r="AG110" i="2" s="1"/>
  <c r="AF111" i="2" s="1"/>
  <c r="AG111" i="2" s="1"/>
  <c r="AF112" i="2" s="1"/>
  <c r="AG112" i="2" s="1"/>
  <c r="AF113" i="2" s="1"/>
  <c r="AG113" i="2" s="1"/>
  <c r="AF114" i="2" s="1"/>
  <c r="AG114" i="2" s="1"/>
  <c r="AF115" i="2" s="1"/>
  <c r="AG115" i="2" s="1"/>
  <c r="AF116" i="2" s="1"/>
  <c r="AG116" i="2" s="1"/>
  <c r="AF117" i="2" s="1"/>
  <c r="AG117" i="2" s="1"/>
  <c r="AF118" i="2" s="1"/>
  <c r="AG118" i="2" s="1"/>
  <c r="AF119" i="2" s="1"/>
  <c r="AG119" i="2" s="1"/>
  <c r="AF120" i="2" s="1"/>
  <c r="AG120" i="2" s="1"/>
  <c r="AF121" i="2" s="1"/>
  <c r="AG121" i="2" s="1"/>
  <c r="AF122" i="2" s="1"/>
  <c r="AG122" i="2" s="1"/>
  <c r="AF123" i="2" s="1"/>
  <c r="AG123" i="2" s="1"/>
  <c r="AF124" i="2" s="1"/>
  <c r="AG124" i="2" s="1"/>
  <c r="AF125" i="2" s="1"/>
  <c r="AG125" i="2" s="1"/>
  <c r="AF126" i="2" s="1"/>
  <c r="AG126" i="2" s="1"/>
  <c r="AF127" i="2" s="1"/>
  <c r="AG127" i="2" s="1"/>
  <c r="AF128" i="2" s="1"/>
  <c r="AG128" i="2" s="1"/>
  <c r="AF129" i="2" s="1"/>
  <c r="AG129" i="2" s="1"/>
  <c r="AF130" i="2" s="1"/>
  <c r="AG130" i="2" s="1"/>
  <c r="AF131" i="2" s="1"/>
  <c r="AG131" i="2" s="1"/>
  <c r="AF132" i="2" s="1"/>
  <c r="AG132" i="2" s="1"/>
  <c r="AF133" i="2" s="1"/>
  <c r="AG133" i="2" s="1"/>
  <c r="AF134" i="2" s="1"/>
  <c r="AG134" i="2" s="1"/>
  <c r="AF135" i="2" s="1"/>
  <c r="AG135" i="2" s="1"/>
  <c r="AF136" i="2" s="1"/>
  <c r="AG136" i="2" s="1"/>
  <c r="AF137" i="2" s="1"/>
  <c r="AG137" i="2" s="1"/>
  <c r="AF138" i="2" s="1"/>
  <c r="AG138" i="2" s="1"/>
  <c r="AF139" i="2" s="1"/>
  <c r="AG139" i="2" s="1"/>
  <c r="AF140" i="2" s="1"/>
  <c r="AG140" i="2" s="1"/>
  <c r="AF141" i="2" s="1"/>
  <c r="AG141" i="2" s="1"/>
  <c r="AF142" i="2" s="1"/>
  <c r="AG142" i="2" s="1"/>
  <c r="AF143" i="2" s="1"/>
  <c r="AG143" i="2" s="1"/>
  <c r="AF144" i="2" s="1"/>
  <c r="AG144" i="2" s="1"/>
  <c r="AF145" i="2" s="1"/>
  <c r="AG145" i="2" s="1"/>
  <c r="AF146" i="2" s="1"/>
  <c r="AG146" i="2" s="1"/>
  <c r="AF147" i="2" s="1"/>
  <c r="AG147" i="2" s="1"/>
  <c r="AF148" i="2" s="1"/>
  <c r="AG148" i="2" s="1"/>
  <c r="AF149" i="2" s="1"/>
  <c r="AG149" i="2" s="1"/>
  <c r="AF150" i="2" s="1"/>
  <c r="AG150" i="2" s="1"/>
  <c r="AF151" i="2" s="1"/>
  <c r="AG151" i="2" s="1"/>
  <c r="AF152" i="2" s="1"/>
  <c r="AG152" i="2" s="1"/>
  <c r="AF153" i="2" s="1"/>
  <c r="AG153" i="2" s="1"/>
  <c r="AF154" i="2" s="1"/>
  <c r="AG154" i="2" s="1"/>
  <c r="AF155" i="2" s="1"/>
  <c r="AG155" i="2" s="1"/>
  <c r="AF156" i="2" s="1"/>
  <c r="AG156" i="2" s="1"/>
  <c r="AF157" i="2" s="1"/>
  <c r="AG157" i="2" s="1"/>
  <c r="AF158" i="2" s="1"/>
  <c r="AG158" i="2" s="1"/>
  <c r="AF159" i="2" s="1"/>
  <c r="AG159" i="2" s="1"/>
  <c r="AF160" i="2" s="1"/>
  <c r="AG160" i="2" s="1"/>
  <c r="AF161" i="2" s="1"/>
  <c r="AG161" i="2" s="1"/>
  <c r="AF162" i="2" s="1"/>
  <c r="AG162" i="2" s="1"/>
  <c r="AF163" i="2" s="1"/>
  <c r="AG163" i="2" s="1"/>
  <c r="AF164" i="2" s="1"/>
  <c r="AG164" i="2" s="1"/>
  <c r="AF165" i="2" s="1"/>
  <c r="AG165" i="2" s="1"/>
  <c r="AF166" i="2" s="1"/>
  <c r="AG166" i="2" s="1"/>
  <c r="AF167" i="2" s="1"/>
  <c r="AG167" i="2" s="1"/>
  <c r="AF168" i="2" s="1"/>
  <c r="AG168" i="2" s="1"/>
  <c r="AF169" i="2" s="1"/>
  <c r="AG169" i="2" s="1"/>
  <c r="AF170" i="2" s="1"/>
  <c r="AG170" i="2" s="1"/>
  <c r="AF171" i="2" s="1"/>
  <c r="AG171" i="2" s="1"/>
  <c r="AF172" i="2" s="1"/>
  <c r="AG172" i="2" s="1"/>
  <c r="AF173" i="2" s="1"/>
  <c r="AG173" i="2" s="1"/>
  <c r="AF174" i="2" s="1"/>
  <c r="AG174" i="2" s="1"/>
  <c r="AF175" i="2" s="1"/>
  <c r="AG175" i="2" s="1"/>
  <c r="AF176" i="2" s="1"/>
  <c r="AG176" i="2" s="1"/>
  <c r="AQ48" i="2"/>
  <c r="AR48" i="2" s="1"/>
  <c r="AM8" i="2"/>
  <c r="AM7" i="2"/>
  <c r="AM6" i="2"/>
  <c r="AM5" i="2"/>
  <c r="AQ49" i="2"/>
  <c r="AM4" i="2"/>
  <c r="F58" i="3" l="1"/>
  <c r="K49" i="1"/>
  <c r="J49" i="1" s="1"/>
  <c r="AD49" i="1" s="1"/>
  <c r="AE49" i="1" s="1"/>
  <c r="AG49" i="1" s="1"/>
  <c r="AF50" i="1" s="1"/>
  <c r="AG50" i="1" s="1"/>
  <c r="AF51" i="1" s="1"/>
  <c r="AG51" i="1" s="1"/>
  <c r="AF52" i="1" s="1"/>
  <c r="AG52" i="1" s="1"/>
  <c r="AF53" i="1" s="1"/>
  <c r="AG53" i="1" s="1"/>
  <c r="AF54" i="1" s="1"/>
  <c r="AG54" i="1" s="1"/>
  <c r="AF55" i="1" s="1"/>
  <c r="AG55" i="1" s="1"/>
  <c r="AF56" i="1" s="1"/>
  <c r="AG56" i="1" s="1"/>
  <c r="AF57" i="1" s="1"/>
  <c r="AG57" i="1" s="1"/>
  <c r="AF58" i="1" s="1"/>
  <c r="AG58" i="1" s="1"/>
  <c r="AF59" i="1" s="1"/>
  <c r="AG59" i="1" s="1"/>
  <c r="AF60" i="1" s="1"/>
  <c r="AG60" i="1" s="1"/>
  <c r="AF61" i="1" s="1"/>
  <c r="AG61" i="1" s="1"/>
  <c r="AF62" i="1" s="1"/>
  <c r="AG62" i="1" s="1"/>
  <c r="AF63" i="1" s="1"/>
  <c r="AG63" i="1" s="1"/>
  <c r="L49" i="2"/>
  <c r="K49" i="2" s="1"/>
  <c r="AT181" i="2"/>
  <c r="AT180" i="2"/>
  <c r="AR49" i="2"/>
  <c r="C59" i="3" l="1"/>
  <c r="AT182" i="2"/>
  <c r="AT183" i="2"/>
  <c r="D59" i="3" l="1"/>
  <c r="M50" i="2"/>
  <c r="L50" i="1"/>
  <c r="U50" i="1" s="1"/>
  <c r="F59" i="3" l="1"/>
  <c r="K50" i="1"/>
  <c r="J50" i="1" s="1"/>
  <c r="AD50" i="1" s="1"/>
  <c r="L50" i="2"/>
  <c r="K50" i="2" s="1"/>
  <c r="C60" i="3" l="1"/>
  <c r="D60" i="3" l="1"/>
  <c r="L51" i="1"/>
  <c r="M51" i="2"/>
  <c r="F60" i="3" l="1"/>
  <c r="K51" i="1"/>
  <c r="J51" i="1" s="1"/>
  <c r="L51" i="2"/>
  <c r="K51" i="2" s="1"/>
  <c r="U58" i="1"/>
  <c r="U51" i="1"/>
  <c r="U52" i="1"/>
  <c r="U53" i="1"/>
  <c r="U54" i="1"/>
  <c r="U55" i="1"/>
  <c r="U56" i="1"/>
  <c r="U57" i="1"/>
  <c r="C61" i="3" l="1"/>
  <c r="AD58" i="1"/>
  <c r="AD51" i="1"/>
  <c r="AD52" i="1"/>
  <c r="AD53" i="1"/>
  <c r="AD54" i="1"/>
  <c r="AD55" i="1"/>
  <c r="AD56" i="1"/>
  <c r="AD57" i="1"/>
  <c r="D61" i="3" l="1"/>
  <c r="L52" i="1"/>
  <c r="U59" i="1" s="1"/>
  <c r="M52" i="2"/>
  <c r="F61" i="3" l="1"/>
  <c r="L52" i="2"/>
  <c r="K52" i="2" s="1"/>
  <c r="K52" i="1"/>
  <c r="J52" i="1" s="1"/>
  <c r="AD59" i="1" s="1"/>
  <c r="C62" i="3" l="1"/>
  <c r="D62" i="3" l="1"/>
  <c r="M53" i="2"/>
  <c r="L53" i="1"/>
  <c r="U60" i="1" s="1"/>
  <c r="F62" i="3" l="1"/>
  <c r="K53" i="1"/>
  <c r="J53" i="1" s="1"/>
  <c r="AD60" i="1" s="1"/>
  <c r="L53" i="2"/>
  <c r="K53" i="2" s="1"/>
  <c r="C63" i="3" l="1"/>
  <c r="D63" i="3" l="1"/>
  <c r="M54" i="2"/>
  <c r="L54" i="1"/>
  <c r="U61" i="1" s="1"/>
  <c r="F63" i="3" l="1"/>
  <c r="L54" i="2"/>
  <c r="K54" i="2" s="1"/>
  <c r="K54" i="1"/>
  <c r="J54" i="1" s="1"/>
  <c r="AD61" i="1" s="1"/>
  <c r="C64" i="3" l="1"/>
  <c r="D64" i="3" l="1"/>
  <c r="M55" i="2"/>
  <c r="L55" i="1"/>
  <c r="F64" i="3" l="1"/>
  <c r="K55" i="1"/>
  <c r="J55" i="1" s="1"/>
  <c r="L55" i="2"/>
  <c r="K55" i="2" s="1"/>
  <c r="C65" i="3" l="1"/>
  <c r="D65" i="3" l="1"/>
  <c r="M56" i="2"/>
  <c r="L56" i="1"/>
  <c r="F65" i="3" l="1"/>
  <c r="K56" i="1"/>
  <c r="J56" i="1" s="1"/>
  <c r="L56" i="2"/>
  <c r="K56" i="2" s="1"/>
  <c r="C66" i="3" l="1"/>
  <c r="D66" i="3" l="1"/>
  <c r="M57" i="2"/>
  <c r="L57" i="1"/>
  <c r="F66" i="3" l="1"/>
  <c r="K57" i="1"/>
  <c r="J57" i="1" s="1"/>
  <c r="L57" i="2"/>
  <c r="K57" i="2" s="1"/>
  <c r="C67" i="3" l="1"/>
  <c r="D67" i="3" l="1"/>
  <c r="L58" i="1"/>
  <c r="M58" i="2"/>
  <c r="V58" i="2" s="1"/>
  <c r="F67" i="3" l="1"/>
  <c r="L58" i="2"/>
  <c r="K58" i="2" s="1"/>
  <c r="AD58" i="2" s="1"/>
  <c r="K58" i="1"/>
  <c r="J58" i="1" s="1"/>
  <c r="C68" i="3" l="1"/>
  <c r="D68" i="3" l="1"/>
  <c r="L59" i="1"/>
  <c r="M59" i="2"/>
  <c r="V59" i="2" s="1"/>
  <c r="F68" i="3" l="1"/>
  <c r="L59" i="2"/>
  <c r="K59" i="2" s="1"/>
  <c r="AD59" i="2" s="1"/>
  <c r="K59" i="1"/>
  <c r="J59" i="1" s="1"/>
  <c r="C69" i="3" l="1"/>
  <c r="D69" i="3" l="1"/>
  <c r="L60" i="1"/>
  <c r="M60" i="2"/>
  <c r="V60" i="2" s="1"/>
  <c r="F69" i="3" l="1"/>
  <c r="L60" i="2"/>
  <c r="K60" i="2" s="1"/>
  <c r="AD60" i="2" s="1"/>
  <c r="K60" i="1"/>
  <c r="J60" i="1" s="1"/>
  <c r="C70" i="3" l="1"/>
  <c r="L61" i="1" l="1"/>
  <c r="M61" i="2"/>
  <c r="V61" i="2" s="1"/>
  <c r="D70" i="3"/>
  <c r="F70" i="3" l="1"/>
  <c r="K61" i="1"/>
  <c r="J61" i="1" s="1"/>
  <c r="L61" i="2"/>
  <c r="K61" i="2" s="1"/>
  <c r="AD61" i="2" s="1"/>
  <c r="C71" i="3" l="1"/>
  <c r="D71" i="3" l="1"/>
  <c r="M62" i="2"/>
  <c r="V62" i="2" s="1"/>
  <c r="F71" i="3" l="1"/>
  <c r="L62" i="2"/>
  <c r="K62" i="2" s="1"/>
  <c r="AD62" i="2" s="1"/>
  <c r="C72" i="3" l="1"/>
  <c r="D72" i="3" l="1"/>
  <c r="M63" i="2"/>
  <c r="V63" i="2" s="1"/>
  <c r="F72" i="3" l="1"/>
  <c r="L63" i="2"/>
  <c r="K63" i="2" s="1"/>
  <c r="AD6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41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======
ID#AAACEjSaWmQ
tc={3A9CDB87-0B77-4921-AD9A-83B1378255DF}    (2026-07-30 23:39:20)
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Compensando negativo do mês passado</t>
        </r>
      </text>
    </comment>
    <comment ref="H44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======
ID#AAACEjSaWmU
tc={F204418F-E5E5-4453-B543-8DC1F050D047}    (2026-07-30 23:39:20)
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Compensando negativo do mês passado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faAm9u/fePEctQy9w/JVbYRYH1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1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======
ID#AAAB2MIaREQ
tc={29F0D116-809C-4C5D-918D-86B6AD184089}    (2025-07-23 17:39:37)
[Comentário encadeado]
Sua versão do Excel permite que você leia este comentário encadeado, no entanto, as edições serão removidas se o arquivo for aberto em uma versão mais recente do Excel. Saiba mais: https://go.microsoft.com/fwlink/?linkid=870924
Comentário:
    Esqueci de abater a bandeira dos meses anteriores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2TiIW9DkCt8rDF06AhDiH3snTwg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3" authorId="0" shapeId="0" xr:uid="{00000000-0006-0000-0D00-000002000000}">
      <text>
        <r>
          <rPr>
            <sz val="11"/>
            <color theme="1"/>
            <rFont val="Calibri"/>
            <family val="2"/>
            <scheme val="minor"/>
          </rPr>
          <t>======
ID#AAAB2MIaREc
tc={D5314D5A-2212-4E5F-9C84-0E10741D493A}    (2024-11-03 21:58:33)
[Comentário encadeado]
Sua versão do Excel permite que você leia este comentário encadeado, no entanto, as edições serão removidas se o arquivo for aberto em uma versão mais recente do Excel. Saiba mais: https://go.microsoft.com/fwlink/?linkid=870924
Comentário:
    Estimado</t>
        </r>
      </text>
    </comment>
    <comment ref="J3" authorId="0" shapeId="0" xr:uid="{00000000-0006-0000-0D00-000003000000}">
      <text>
        <r>
          <rPr>
            <sz val="11"/>
            <color theme="1"/>
            <rFont val="Calibri"/>
            <family val="2"/>
            <scheme val="minor"/>
          </rPr>
          <t>======
ID#AAAB2MIaREU
tc={CE379F9A-EAB1-4B46-8E8E-DCEF5696FA8A}    (2024-11-03 21:58:33)
[Comentário encadeado]
Sua versão do Excel permite que você leia este comentário encadeado, no entanto, as edições serão removidas se o arquivo for aberto em uma versão mais recente do Excel. Saiba mais: https://go.microsoft.com/fwlink/?linkid=870924
Comentário:
    Estimado</t>
        </r>
      </text>
    </comment>
    <comment ref="L7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======
ID#AAAB2MIaREY
tc={BF63F822-254E-4803-AB87-BD526FF52027}    (2025-07-23 17:39:37)
[Comentário encadeado]
Sua versão do Excel permite que você leia este comentário encadeado, no entanto, as edições serão removidas se o arquivo for aberto em uma versão mais recente do Excel. Saiba mais: https://go.microsoft.com/fwlink/?linkid=870924
Comentário:
    Esqueci de abater a bandeira nos meses anteriores. Corrigir a partir de novembro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jkH89PtfTtOq3BrGhdvIjpGNr2Q=="/>
    </ext>
  </extLst>
</comments>
</file>

<file path=xl/sharedStrings.xml><?xml version="1.0" encoding="utf-8"?>
<sst xmlns="http://schemas.openxmlformats.org/spreadsheetml/2006/main" count="568" uniqueCount="255">
  <si>
    <t>Fluxos de caixa</t>
  </si>
  <si>
    <t>Categoria</t>
  </si>
  <si>
    <t>Receita de vendas</t>
  </si>
  <si>
    <t>Despesa com serviço de terceiros</t>
  </si>
  <si>
    <t>Despesa administrativa</t>
  </si>
  <si>
    <t>IRPJ</t>
  </si>
  <si>
    <t>Fluxo de caixa de financiamento</t>
  </si>
  <si>
    <t>Despesa financeira</t>
  </si>
  <si>
    <t>Captações de empréstimo</t>
  </si>
  <si>
    <t>Aquisição de ativos - usina solar</t>
  </si>
  <si>
    <t>DRE</t>
  </si>
  <si>
    <t>Fluxo de caixa operacional</t>
  </si>
  <si>
    <t>Fluxo de caixa investimento</t>
  </si>
  <si>
    <t>Caixa</t>
  </si>
  <si>
    <t>Método</t>
  </si>
  <si>
    <t>Price</t>
  </si>
  <si>
    <t>Item</t>
  </si>
  <si>
    <t>Valor solicitado</t>
  </si>
  <si>
    <t>Consórcio Zetawatts</t>
  </si>
  <si>
    <t>Limpeza das placas</t>
  </si>
  <si>
    <t>Contador</t>
  </si>
  <si>
    <t>Alvará</t>
  </si>
  <si>
    <t>JUCERJA</t>
  </si>
  <si>
    <t>Simples</t>
  </si>
  <si>
    <t>Parcela do empréstimo</t>
  </si>
  <si>
    <t>Amortização do empréstimo</t>
  </si>
  <si>
    <t>Juros</t>
  </si>
  <si>
    <t>Empréstimo</t>
  </si>
  <si>
    <t>Usina São Gonçalo I</t>
  </si>
  <si>
    <t>Lucro bruto</t>
  </si>
  <si>
    <t>Despesas operacionais</t>
  </si>
  <si>
    <t>EBITDA</t>
  </si>
  <si>
    <t>Depreciação e amortização</t>
  </si>
  <si>
    <t>EBIT</t>
  </si>
  <si>
    <t>Despesas financeiras</t>
  </si>
  <si>
    <t>Lucro antes do imposto de renda</t>
  </si>
  <si>
    <t>Lucro líquido</t>
  </si>
  <si>
    <t>EBIDTA</t>
  </si>
  <si>
    <t>Impostos pagos</t>
  </si>
  <si>
    <t>Aquisição de ativos</t>
  </si>
  <si>
    <t>Captação de empréstimo</t>
  </si>
  <si>
    <t>Pagamento de juros e principal</t>
  </si>
  <si>
    <t>Resultado líquido</t>
  </si>
  <si>
    <t>Saldo inicial</t>
  </si>
  <si>
    <t>Saldo final</t>
  </si>
  <si>
    <t>Valor liberado</t>
  </si>
  <si>
    <t>Prazo (meses)</t>
  </si>
  <si>
    <t>Geração</t>
  </si>
  <si>
    <t>CET (% a.m.)</t>
  </si>
  <si>
    <t>Unidade</t>
  </si>
  <si>
    <t>kWh</t>
  </si>
  <si>
    <t>Usina</t>
  </si>
  <si>
    <t>Carência (meses)</t>
  </si>
  <si>
    <t>Valor total devido</t>
  </si>
  <si>
    <t>Data</t>
  </si>
  <si>
    <t>Período</t>
  </si>
  <si>
    <t>Amortização</t>
  </si>
  <si>
    <t>Parcela</t>
  </si>
  <si>
    <t>Saldo devedor</t>
  </si>
  <si>
    <t>Fluxo de caixa</t>
  </si>
  <si>
    <t>BOT P Kennedy</t>
  </si>
  <si>
    <t>Usinas solares</t>
  </si>
  <si>
    <t>Receitas</t>
  </si>
  <si>
    <t>Receita</t>
  </si>
  <si>
    <t>Fluxo de caixa líquido</t>
  </si>
  <si>
    <t>Saldo em caixa</t>
  </si>
  <si>
    <t>Fluxo de Caixa - APAGAR</t>
  </si>
  <si>
    <t>Fluxo de Caixa Ideal</t>
  </si>
  <si>
    <t>Injeção</t>
  </si>
  <si>
    <t>Abatimento</t>
  </si>
  <si>
    <t>Injeção líquida</t>
  </si>
  <si>
    <t>Percentual 235</t>
  </si>
  <si>
    <t>Percentual 281</t>
  </si>
  <si>
    <t>Créditos recebidos</t>
  </si>
  <si>
    <t>Saldo</t>
  </si>
  <si>
    <t>Mês de referência</t>
  </si>
  <si>
    <t>Usina 235</t>
  </si>
  <si>
    <t>Usina 281</t>
  </si>
  <si>
    <t>Total</t>
  </si>
  <si>
    <t>Itaipu</t>
  </si>
  <si>
    <t>Icaraí</t>
  </si>
  <si>
    <t>Laura Jardim</t>
  </si>
  <si>
    <t>Essence</t>
  </si>
  <si>
    <t>15/12/2022 - 13/01/2023</t>
  </si>
  <si>
    <t>14/01/2023 - 11/02/2023</t>
  </si>
  <si>
    <t>12/02/2023 - 15/03/2023</t>
  </si>
  <si>
    <t>16/03/2023 - 14/04/2023</t>
  </si>
  <si>
    <t>Data medição</t>
  </si>
  <si>
    <t>Usina 235/1</t>
  </si>
  <si>
    <t>Usina 235/2</t>
  </si>
  <si>
    <t>Dias entre medições</t>
  </si>
  <si>
    <t>Data de corte</t>
  </si>
  <si>
    <t>Dias excedentes ao corte</t>
  </si>
  <si>
    <t>Dias dentro do corte</t>
  </si>
  <si>
    <t>Geração 235/1</t>
  </si>
  <si>
    <t>Geração 235/2</t>
  </si>
  <si>
    <t>Geração 235</t>
  </si>
  <si>
    <t>Geração 235 ajustada</t>
  </si>
  <si>
    <t>Geração 281</t>
  </si>
  <si>
    <t>15/04/2023 - 16/05/2023</t>
  </si>
  <si>
    <t>Geração 281 ajustada</t>
  </si>
  <si>
    <t>Injeção 235</t>
  </si>
  <si>
    <t>Injeção 281</t>
  </si>
  <si>
    <t>Geração ajustada - injeção 235</t>
  </si>
  <si>
    <t>Geração ajustada - injeção 281</t>
  </si>
  <si>
    <t>Como se passaram 40 dias entre as medições(26/11 e 16/10), fiz uma regra de 3 para calcular o consumo da 235 de novembro</t>
  </si>
  <si>
    <t>Como se passaram 38 dias entre as medições(24/02/2025 e 17/01/2025), fiz uma regra de 3 para calcular o consumo</t>
  </si>
  <si>
    <t>somando sobra do ajuste de fevereiro + geração de 24/02 até 16/03 (22 dias)</t>
  </si>
  <si>
    <t>somando sobra do ajuste de março (17/03 até 24/03 - 8 dias) + geração de 25/03 até 16/04 (23 dias)</t>
  </si>
  <si>
    <t>somando sobra do ajuste de abril (17/04 até 05/05 - 19 dias) + geração de 06/05 até 16/05 (11 dias)</t>
  </si>
  <si>
    <t>somando sobra do ajuste de abril (17/05 até 22/05 - 6 dias) + geração de 23/05 até 16/06 (25 dias)</t>
  </si>
  <si>
    <t>17/05/2023 - 16/06/2023</t>
  </si>
  <si>
    <t>17/06/2023 - 14/07/2023</t>
  </si>
  <si>
    <t>15/07/2023 - 15/08/2023</t>
  </si>
  <si>
    <t>16/08/2023 - 15/09/2023</t>
  </si>
  <si>
    <t>16/09/2023 - 17/10/2023</t>
  </si>
  <si>
    <t>18/10/2023 - 14/11/2023</t>
  </si>
  <si>
    <t>15/11/2023 - 14/12/2023</t>
  </si>
  <si>
    <t>15/12/2023 - 14/01/2024</t>
  </si>
  <si>
    <t>15/01/2024 - 14/02/2024</t>
  </si>
  <si>
    <t>15/02/2024 - 13/03/2024</t>
  </si>
  <si>
    <t>14/03/2024 - 12/04/2024</t>
  </si>
  <si>
    <t>13/04/2024 - 14/05/2024</t>
  </si>
  <si>
    <t>15/05/2024 - 14/06/2024</t>
  </si>
  <si>
    <t>15/06/2024 - 15/07/2024</t>
  </si>
  <si>
    <t>15/07/2024 - 14/08/2024</t>
  </si>
  <si>
    <t>15/08/2024 - 14/09/2024</t>
  </si>
  <si>
    <t>Geração ajustada 235</t>
  </si>
  <si>
    <t>15/09/2024 - 15/10/2024</t>
  </si>
  <si>
    <t>16/10/2024 - 14/11/2024</t>
  </si>
  <si>
    <t>15/11/2024 - 13/12/2024</t>
  </si>
  <si>
    <t>14/12/2024 - 13/01/2025</t>
  </si>
  <si>
    <t>14/01/2025 - 13/02/2025</t>
  </si>
  <si>
    <t>14/02/2025 - 13/03/2025</t>
  </si>
  <si>
    <t>14/03/2025 - 13/04/2025</t>
  </si>
  <si>
    <t>14/04/2025 - 13/05/2025</t>
  </si>
  <si>
    <t>14/05/2025 - 13/06/2025</t>
  </si>
  <si>
    <t>Geração - injeção 235</t>
  </si>
  <si>
    <t>14/06/2025 - 13/07/2025</t>
  </si>
  <si>
    <t>14/07/2025 - 13/08/2025</t>
  </si>
  <si>
    <t>14/08/2025 - 13/09/2025</t>
  </si>
  <si>
    <t>14/09/2025 - 13/10/2025</t>
  </si>
  <si>
    <t>14/10/2025 - 13/11/2025</t>
  </si>
  <si>
    <t>14/11/2025 - 13/12/2025</t>
  </si>
  <si>
    <t>14/12/2025 - 13/01/2026</t>
  </si>
  <si>
    <t>Geração ajustada 281</t>
  </si>
  <si>
    <t>14/01/2026 - 13/02/2026</t>
  </si>
  <si>
    <t>14/02/2026 - 13/03/2026</t>
  </si>
  <si>
    <t>14/03/2026 - 13/04/2026</t>
  </si>
  <si>
    <t>14/04/2026 - 13/05/2026</t>
  </si>
  <si>
    <t>14/05/2026 - 13/06/2026</t>
  </si>
  <si>
    <t>14/06/2026 - 13/07/2026</t>
  </si>
  <si>
    <t>Geração - injeção 281</t>
  </si>
  <si>
    <t>Maricá (UC 1138227)</t>
  </si>
  <si>
    <t>Data da leitura</t>
  </si>
  <si>
    <t>Energia injetada pela UC 1138227</t>
  </si>
  <si>
    <t>Créditos gerados em favor da UC 1138227</t>
  </si>
  <si>
    <t xml:space="preserve">Créditos gerados em favor da </t>
  </si>
  <si>
    <t>Saldo utilizado</t>
  </si>
  <si>
    <t>Pres Kennedy</t>
  </si>
  <si>
    <t>Pio borges</t>
  </si>
  <si>
    <t>Energia injetada pela UC 62920508</t>
  </si>
  <si>
    <t>Créditos gerados em favor da Geraldo Martins</t>
  </si>
  <si>
    <t>Créditos gerados em favor da Pio Borges</t>
  </si>
  <si>
    <t>Tarifa</t>
  </si>
  <si>
    <t>Imposto</t>
  </si>
  <si>
    <t>Consumo</t>
  </si>
  <si>
    <t>Fornecimento</t>
  </si>
  <si>
    <t>Crédito</t>
  </si>
  <si>
    <t>Fatura</t>
  </si>
  <si>
    <t>Desconto</t>
  </si>
  <si>
    <t>Preço</t>
  </si>
  <si>
    <t>Métrica</t>
  </si>
  <si>
    <t>TE</t>
  </si>
  <si>
    <t>TUSD</t>
  </si>
  <si>
    <t>Bandeira</t>
  </si>
  <si>
    <t>ICMS</t>
  </si>
  <si>
    <t>COFINS</t>
  </si>
  <si>
    <t>PIS</t>
  </si>
  <si>
    <t>Consumo (kWh)</t>
  </si>
  <si>
    <t>Eletricidade Enel (kWh)</t>
  </si>
  <si>
    <t>Eletricidade painel (kWh)</t>
  </si>
  <si>
    <t>Crédito utilizado</t>
  </si>
  <si>
    <t>Fatura Enel (R$)</t>
  </si>
  <si>
    <t>Total (R$)</t>
  </si>
  <si>
    <t>Fatura Zeta (R$)</t>
  </si>
  <si>
    <t>kWh Zeta</t>
  </si>
  <si>
    <t>R$/kWh</t>
  </si>
  <si>
    <t>Cor</t>
  </si>
  <si>
    <t>%</t>
  </si>
  <si>
    <t>R$</t>
  </si>
  <si>
    <t>Tarifa (R$/kWh)</t>
  </si>
  <si>
    <t>Crédito utilizados (kWh)</t>
  </si>
  <si>
    <t>Fatura enel (R$)</t>
  </si>
  <si>
    <t>Desconto 10%</t>
  </si>
  <si>
    <t>Desconto bandeira</t>
  </si>
  <si>
    <t>Valor eletricidade (R$/kWh)</t>
  </si>
  <si>
    <t>Verde</t>
  </si>
  <si>
    <t>Amarela</t>
  </si>
  <si>
    <t>Vermelha</t>
  </si>
  <si>
    <t>Vermelha 2</t>
  </si>
  <si>
    <t>Créditos utilizados (kWh)</t>
  </si>
  <si>
    <t>Créditos saldo (kWh)</t>
  </si>
  <si>
    <t>Créditos mês corrente (kWh)</t>
  </si>
  <si>
    <t>Desconto total (R$)</t>
  </si>
  <si>
    <t>Desconto 10% (R$)</t>
  </si>
  <si>
    <t>Desconto bandeira (R$)</t>
  </si>
  <si>
    <t>Deixando na Mesa</t>
  </si>
  <si>
    <t>TUSD_For</t>
  </si>
  <si>
    <t>TUSD_Inj_GD1</t>
  </si>
  <si>
    <t>TUSD_Inj_GD2</t>
  </si>
  <si>
    <t>Tarifa_FOR (R$/kWh)</t>
  </si>
  <si>
    <t>Tarifa_Inj_GD1 (R$/kWh)</t>
  </si>
  <si>
    <t>Tarifa_Inj_GD2 (R$/kWh)</t>
  </si>
  <si>
    <t>Créditos GD1 (kWh)</t>
  </si>
  <si>
    <t>Créditos GD2 (kWh)</t>
  </si>
  <si>
    <t>Iluminação pública e multas</t>
  </si>
  <si>
    <t>Fatura_For (R$)</t>
  </si>
  <si>
    <t>Total_Inj (R$)</t>
  </si>
  <si>
    <t>Desconto GD1</t>
  </si>
  <si>
    <t>Desconto GD2</t>
  </si>
  <si>
    <t>Desconto percentual (%)</t>
  </si>
  <si>
    <t>TE_For</t>
  </si>
  <si>
    <t>TE_GD1</t>
  </si>
  <si>
    <t>TE_GD2</t>
  </si>
  <si>
    <t>TIR ate 2035</t>
  </si>
  <si>
    <t>TIR ate 2040</t>
  </si>
  <si>
    <t>TIR alvo</t>
  </si>
  <si>
    <t>14/07/2026 - 13/08/2026</t>
  </si>
  <si>
    <t>TE_for</t>
  </si>
  <si>
    <t>TUSD_for</t>
  </si>
  <si>
    <t>TE_inj</t>
  </si>
  <si>
    <t>TUSD_inj</t>
  </si>
  <si>
    <t>Tarifa_for (R$/kWh)</t>
  </si>
  <si>
    <t>Tarifa_inj (R$/kWh)</t>
  </si>
  <si>
    <t>Desconto (%)</t>
  </si>
  <si>
    <t>Energia Injetada</t>
  </si>
  <si>
    <t>Itens da Fatura</t>
  </si>
  <si>
    <t>Adicional Bandeira</t>
  </si>
  <si>
    <t>Desconto Zeta GD</t>
  </si>
  <si>
    <t>Desconto Bandeira Amarela</t>
  </si>
  <si>
    <t>Kwh</t>
  </si>
  <si>
    <t>Total a Pagar Zeta GD</t>
  </si>
  <si>
    <t>Desconto Total</t>
  </si>
  <si>
    <t>Valor Unitário</t>
  </si>
  <si>
    <t>Valor (R$)</t>
  </si>
  <si>
    <t>Quantidade</t>
  </si>
  <si>
    <t>Você economizou nos últimos 12 meses</t>
  </si>
  <si>
    <t>Prazo de vencimento</t>
  </si>
  <si>
    <t>Dados Cliente</t>
  </si>
  <si>
    <t>WW Studio 183 Cabeleireiros Eireli</t>
  </si>
  <si>
    <t>Rua Gavião Peixoto, nº 183, l. 103, Icaraí, Niterói - RJ</t>
  </si>
  <si>
    <t>CNPJ:  04.746.000/0001-96 Nº do cliente: 8087524</t>
  </si>
  <si>
    <t>Chave pix: 42.808.090/0001-91</t>
  </si>
  <si>
    <t>Nome: ZETAWATTS 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</si>
</sst>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R$&quot;\ #,##0.00;[Red]\-&quot;R$&quot;\ #,##0.00"/>
    <numFmt numFmtId="164" formatCode="_-&quot;R$&quot;\ * #,##0.00_-;\-&quot;R$&quot;\ * #,##0.00_-;_-&quot;R$&quot;\ * &quot;-&quot;??_-;_-@"/>
    <numFmt numFmtId="165" formatCode="0.000%"/>
    <numFmt numFmtId="166" formatCode="_-* #,##0.00_-;\-* #,##0.00_-;_-* &quot;-&quot;??_-;_-@"/>
    <numFmt numFmtId="167" formatCode="0.0%"/>
    <numFmt numFmtId="168" formatCode="[$-416]mmm\-yy"/>
    <numFmt numFmtId="169" formatCode="0.0000"/>
    <numFmt numFmtId="170" formatCode="0.00000"/>
    <numFmt numFmtId="171" formatCode="0.000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0.5"/>
      <color rgb="FF0E2841"/>
      <name val="Arial"/>
      <family val="2"/>
    </font>
    <font>
      <sz val="9"/>
      <color rgb="FF0E284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23556"/>
        <bgColor rgb="FF123556"/>
      </patternFill>
    </fill>
    <fill>
      <patternFill patternType="solid">
        <fgColor rgb="FFA5DAF2"/>
        <bgColor rgb="FFA5DAF2"/>
      </patternFill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  <fill>
      <patternFill patternType="solid">
        <fgColor rgb="FFD2ECF8"/>
        <bgColor rgb="FFD2ECF8"/>
      </patternFill>
    </fill>
    <fill>
      <patternFill patternType="solid">
        <fgColor rgb="FFE3E3E3"/>
        <bgColor rgb="FFE3E3E3"/>
      </patternFill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rgb="FFD8D8D8"/>
        <bgColor rgb="FFD8D8D8"/>
      </patternFill>
    </fill>
    <fill>
      <patternFill patternType="solid">
        <fgColor rgb="FFFFC392"/>
        <bgColor rgb="FFFFC392"/>
      </patternFill>
    </fill>
    <fill>
      <patternFill patternType="solid">
        <fgColor rgb="FF82CBED"/>
        <bgColor rgb="FF82CBED"/>
      </patternFill>
    </fill>
    <fill>
      <patternFill patternType="solid">
        <fgColor rgb="FFC0E5F6"/>
        <bgColor rgb="FFC0E5F6"/>
      </patternFill>
    </fill>
    <fill>
      <patternFill patternType="solid">
        <fgColor rgb="FFFFE1C8"/>
        <bgColor rgb="FFFFE1C8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7F7F7F"/>
      </right>
      <top style="thin">
        <color rgb="FF000000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000000"/>
      </top>
      <bottom style="thin">
        <color rgb="FF7F7F7F"/>
      </bottom>
      <diagonal/>
    </border>
    <border>
      <left style="thin">
        <color rgb="FF7F7F7F"/>
      </left>
      <right style="thin">
        <color rgb="FF000000"/>
      </right>
      <top style="thin">
        <color rgb="FF000000"/>
      </top>
      <bottom style="thin">
        <color rgb="FF7F7F7F"/>
      </bottom>
      <diagonal/>
    </border>
    <border>
      <left style="thin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000000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28">
    <xf numFmtId="0" fontId="0" fillId="0" borderId="0" xfId="0"/>
    <xf numFmtId="0" fontId="2" fillId="0" borderId="1" xfId="0" applyFont="1" applyBorder="1"/>
    <xf numFmtId="0" fontId="3" fillId="2" borderId="2" xfId="0" applyFont="1" applyFill="1" applyBorder="1"/>
    <xf numFmtId="0" fontId="3" fillId="2" borderId="1" xfId="0" applyFont="1" applyFill="1" applyBorder="1"/>
    <xf numFmtId="17" fontId="3" fillId="2" borderId="1" xfId="0" applyNumberFormat="1" applyFont="1" applyFill="1" applyBorder="1"/>
    <xf numFmtId="0" fontId="2" fillId="3" borderId="1" xfId="0" applyFont="1" applyFill="1" applyBorder="1"/>
    <xf numFmtId="164" fontId="2" fillId="0" borderId="1" xfId="0" applyNumberFormat="1" applyFont="1" applyBorder="1"/>
    <xf numFmtId="2" fontId="2" fillId="0" borderId="0" xfId="0" applyNumberFormat="1" applyFont="1"/>
    <xf numFmtId="10" fontId="2" fillId="0" borderId="0" xfId="0" applyNumberFormat="1" applyFont="1"/>
    <xf numFmtId="165" fontId="2" fillId="0" borderId="0" xfId="0" applyNumberFormat="1" applyFont="1"/>
    <xf numFmtId="14" fontId="2" fillId="3" borderId="1" xfId="0" applyNumberFormat="1" applyFont="1" applyFill="1" applyBorder="1"/>
    <xf numFmtId="166" fontId="2" fillId="0" borderId="1" xfId="0" applyNumberFormat="1" applyFont="1" applyBorder="1"/>
    <xf numFmtId="0" fontId="2" fillId="0" borderId="0" xfId="0" applyFont="1"/>
    <xf numFmtId="10" fontId="2" fillId="0" borderId="1" xfId="0" applyNumberFormat="1" applyFont="1" applyBorder="1"/>
    <xf numFmtId="16" fontId="2" fillId="0" borderId="0" xfId="0" applyNumberFormat="1" applyFont="1"/>
    <xf numFmtId="0" fontId="2" fillId="4" borderId="2" xfId="0" applyFont="1" applyFill="1" applyBorder="1"/>
    <xf numFmtId="9" fontId="2" fillId="0" borderId="0" xfId="0" applyNumberFormat="1" applyFont="1"/>
    <xf numFmtId="8" fontId="2" fillId="0" borderId="1" xfId="0" applyNumberFormat="1" applyFont="1" applyBorder="1"/>
    <xf numFmtId="167" fontId="2" fillId="0" borderId="0" xfId="0" applyNumberFormat="1" applyFont="1"/>
    <xf numFmtId="0" fontId="3" fillId="5" borderId="1" xfId="0" applyFont="1" applyFill="1" applyBorder="1"/>
    <xf numFmtId="166" fontId="2" fillId="6" borderId="1" xfId="0" applyNumberFormat="1" applyFont="1" applyFill="1" applyBorder="1"/>
    <xf numFmtId="166" fontId="2" fillId="0" borderId="0" xfId="0" applyNumberFormat="1" applyFont="1"/>
    <xf numFmtId="1" fontId="2" fillId="7" borderId="1" xfId="0" applyNumberFormat="1" applyFont="1" applyFill="1" applyBorder="1"/>
    <xf numFmtId="166" fontId="2" fillId="7" borderId="1" xfId="0" applyNumberFormat="1" applyFont="1" applyFill="1" applyBorder="1"/>
    <xf numFmtId="8" fontId="2" fillId="0" borderId="0" xfId="0" applyNumberFormat="1" applyFont="1"/>
    <xf numFmtId="0" fontId="2" fillId="8" borderId="3" xfId="0" applyFont="1" applyFill="1" applyBorder="1"/>
    <xf numFmtId="0" fontId="2" fillId="8" borderId="4" xfId="0" applyFont="1" applyFill="1" applyBorder="1"/>
    <xf numFmtId="0" fontId="2" fillId="8" borderId="5" xfId="0" applyFont="1" applyFill="1" applyBorder="1"/>
    <xf numFmtId="0" fontId="2" fillId="8" borderId="6" xfId="0" applyFont="1" applyFill="1" applyBorder="1"/>
    <xf numFmtId="0" fontId="2" fillId="8" borderId="7" xfId="0" applyFont="1" applyFill="1" applyBorder="1"/>
    <xf numFmtId="0" fontId="2" fillId="8" borderId="8" xfId="0" applyFont="1" applyFill="1" applyBorder="1"/>
    <xf numFmtId="17" fontId="2" fillId="3" borderId="6" xfId="0" applyNumberFormat="1" applyFont="1" applyFill="1" applyBorder="1"/>
    <xf numFmtId="0" fontId="2" fillId="0" borderId="7" xfId="0" applyFont="1" applyBorder="1"/>
    <xf numFmtId="0" fontId="2" fillId="0" borderId="8" xfId="0" applyFont="1" applyBorder="1"/>
    <xf numFmtId="9" fontId="2" fillId="0" borderId="7" xfId="0" applyNumberFormat="1" applyFont="1" applyBorder="1"/>
    <xf numFmtId="3" fontId="2" fillId="0" borderId="7" xfId="0" applyNumberFormat="1" applyFont="1" applyBorder="1"/>
    <xf numFmtId="1" fontId="2" fillId="0" borderId="0" xfId="0" applyNumberFormat="1" applyFont="1"/>
    <xf numFmtId="2" fontId="2" fillId="0" borderId="7" xfId="0" applyNumberFormat="1" applyFont="1" applyBorder="1"/>
    <xf numFmtId="0" fontId="3" fillId="8" borderId="1" xfId="0" applyFont="1" applyFill="1" applyBorder="1"/>
    <xf numFmtId="17" fontId="2" fillId="0" borderId="0" xfId="0" applyNumberFormat="1" applyFont="1"/>
    <xf numFmtId="168" fontId="2" fillId="0" borderId="1" xfId="0" applyNumberFormat="1" applyFont="1" applyBorder="1"/>
    <xf numFmtId="14" fontId="2" fillId="0" borderId="1" xfId="0" applyNumberFormat="1" applyFont="1" applyBorder="1"/>
    <xf numFmtId="3" fontId="2" fillId="0" borderId="1" xfId="0" applyNumberFormat="1" applyFont="1" applyBorder="1"/>
    <xf numFmtId="1" fontId="2" fillId="0" borderId="1" xfId="0" applyNumberFormat="1" applyFont="1" applyBorder="1"/>
    <xf numFmtId="3" fontId="2" fillId="0" borderId="0" xfId="0" applyNumberFormat="1" applyFont="1"/>
    <xf numFmtId="14" fontId="2" fillId="0" borderId="7" xfId="0" applyNumberFormat="1" applyFont="1" applyBorder="1"/>
    <xf numFmtId="4" fontId="2" fillId="0" borderId="1" xfId="0" applyNumberFormat="1" applyFont="1" applyBorder="1"/>
    <xf numFmtId="2" fontId="2" fillId="0" borderId="1" xfId="0" applyNumberFormat="1" applyFont="1" applyBorder="1"/>
    <xf numFmtId="3" fontId="2" fillId="4" borderId="2" xfId="0" applyNumberFormat="1" applyFont="1" applyFill="1" applyBorder="1"/>
    <xf numFmtId="14" fontId="2" fillId="0" borderId="0" xfId="0" applyNumberFormat="1" applyFont="1"/>
    <xf numFmtId="0" fontId="3" fillId="9" borderId="1" xfId="0" applyFont="1" applyFill="1" applyBorder="1"/>
    <xf numFmtId="9" fontId="3" fillId="9" borderId="1" xfId="0" applyNumberFormat="1" applyFont="1" applyFill="1" applyBorder="1"/>
    <xf numFmtId="17" fontId="2" fillId="10" borderId="1" xfId="0" applyNumberFormat="1" applyFont="1" applyFill="1" applyBorder="1"/>
    <xf numFmtId="17" fontId="2" fillId="6" borderId="1" xfId="0" applyNumberFormat="1" applyFont="1" applyFill="1" applyBorder="1"/>
    <xf numFmtId="0" fontId="2" fillId="11" borderId="1" xfId="0" applyFont="1" applyFill="1" applyBorder="1"/>
    <xf numFmtId="0" fontId="2" fillId="6" borderId="1" xfId="0" applyFont="1" applyFill="1" applyBorder="1"/>
    <xf numFmtId="1" fontId="2" fillId="11" borderId="1" xfId="0" applyNumberFormat="1" applyFont="1" applyFill="1" applyBorder="1"/>
    <xf numFmtId="0" fontId="2" fillId="4" borderId="1" xfId="0" applyFont="1" applyFill="1" applyBorder="1"/>
    <xf numFmtId="2" fontId="2" fillId="11" borderId="1" xfId="0" applyNumberFormat="1" applyFont="1" applyFill="1" applyBorder="1"/>
    <xf numFmtId="169" fontId="2" fillId="11" borderId="1" xfId="0" applyNumberFormat="1" applyFont="1" applyFill="1" applyBorder="1"/>
    <xf numFmtId="1" fontId="2" fillId="6" borderId="1" xfId="0" applyNumberFormat="1" applyFont="1" applyFill="1" applyBorder="1"/>
    <xf numFmtId="2" fontId="2" fillId="6" borderId="1" xfId="0" applyNumberFormat="1" applyFont="1" applyFill="1" applyBorder="1"/>
    <xf numFmtId="17" fontId="2" fillId="0" borderId="1" xfId="0" applyNumberFormat="1" applyFont="1" applyBorder="1"/>
    <xf numFmtId="0" fontId="2" fillId="12" borderId="1" xfId="0" applyFont="1" applyFill="1" applyBorder="1"/>
    <xf numFmtId="170" fontId="2" fillId="11" borderId="1" xfId="0" applyNumberFormat="1" applyFont="1" applyFill="1" applyBorder="1"/>
    <xf numFmtId="9" fontId="2" fillId="6" borderId="1" xfId="0" applyNumberFormat="1" applyFont="1" applyFill="1" applyBorder="1"/>
    <xf numFmtId="10" fontId="2" fillId="6" borderId="1" xfId="0" applyNumberFormat="1" applyFont="1" applyFill="1" applyBorder="1"/>
    <xf numFmtId="1" fontId="2" fillId="12" borderId="1" xfId="0" applyNumberFormat="1" applyFont="1" applyFill="1" applyBorder="1"/>
    <xf numFmtId="169" fontId="2" fillId="12" borderId="1" xfId="0" applyNumberFormat="1" applyFont="1" applyFill="1" applyBorder="1"/>
    <xf numFmtId="2" fontId="2" fillId="12" borderId="1" xfId="0" applyNumberFormat="1" applyFont="1" applyFill="1" applyBorder="1"/>
    <xf numFmtId="170" fontId="2" fillId="6" borderId="1" xfId="0" applyNumberFormat="1" applyFont="1" applyFill="1" applyBorder="1"/>
    <xf numFmtId="171" fontId="2" fillId="11" borderId="1" xfId="0" applyNumberFormat="1" applyFont="1" applyFill="1" applyBorder="1"/>
    <xf numFmtId="170" fontId="2" fillId="12" borderId="1" xfId="0" applyNumberFormat="1" applyFont="1" applyFill="1" applyBorder="1"/>
    <xf numFmtId="3" fontId="2" fillId="11" borderId="1" xfId="0" applyNumberFormat="1" applyFont="1" applyFill="1" applyBorder="1"/>
    <xf numFmtId="3" fontId="2" fillId="4" borderId="1" xfId="0" applyNumberFormat="1" applyFont="1" applyFill="1" applyBorder="1"/>
    <xf numFmtId="17" fontId="2" fillId="8" borderId="1" xfId="0" applyNumberFormat="1" applyFont="1" applyFill="1" applyBorder="1"/>
    <xf numFmtId="169" fontId="2" fillId="0" borderId="1" xfId="0" applyNumberFormat="1" applyFont="1" applyBorder="1"/>
    <xf numFmtId="3" fontId="2" fillId="3" borderId="1" xfId="0" applyNumberFormat="1" applyFont="1" applyFill="1" applyBorder="1"/>
    <xf numFmtId="4" fontId="2" fillId="11" borderId="1" xfId="0" applyNumberFormat="1" applyFont="1" applyFill="1" applyBorder="1"/>
    <xf numFmtId="4" fontId="2" fillId="3" borderId="1" xfId="0" applyNumberFormat="1" applyFont="1" applyFill="1" applyBorder="1"/>
    <xf numFmtId="1" fontId="2" fillId="3" borderId="1" xfId="0" applyNumberFormat="1" applyFont="1" applyFill="1" applyBorder="1"/>
    <xf numFmtId="4" fontId="2" fillId="0" borderId="0" xfId="0" applyNumberFormat="1" applyFont="1"/>
    <xf numFmtId="2" fontId="2" fillId="3" borderId="1" xfId="0" applyNumberFormat="1" applyFont="1" applyFill="1" applyBorder="1"/>
    <xf numFmtId="4" fontId="2" fillId="4" borderId="1" xfId="0" applyNumberFormat="1" applyFont="1" applyFill="1" applyBorder="1"/>
    <xf numFmtId="164" fontId="2" fillId="0" borderId="0" xfId="0" applyNumberFormat="1" applyFont="1"/>
    <xf numFmtId="170" fontId="2" fillId="3" borderId="1" xfId="0" applyNumberFormat="1" applyFont="1" applyFill="1" applyBorder="1"/>
    <xf numFmtId="3" fontId="2" fillId="13" borderId="1" xfId="0" applyNumberFormat="1" applyFon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2" fontId="2" fillId="14" borderId="1" xfId="0" applyNumberFormat="1" applyFont="1" applyFill="1" applyBorder="1"/>
    <xf numFmtId="2" fontId="2" fillId="13" borderId="1" xfId="0" applyNumberFormat="1" applyFont="1" applyFill="1" applyBorder="1"/>
    <xf numFmtId="166" fontId="2" fillId="13" borderId="1" xfId="0" applyNumberFormat="1" applyFont="1" applyFill="1" applyBorder="1"/>
    <xf numFmtId="166" fontId="2" fillId="14" borderId="1" xfId="0" applyNumberFormat="1" applyFont="1" applyFill="1" applyBorder="1"/>
    <xf numFmtId="4" fontId="4" fillId="4" borderId="1" xfId="0" applyNumberFormat="1" applyFont="1" applyFill="1" applyBorder="1"/>
    <xf numFmtId="4" fontId="2" fillId="14" borderId="1" xfId="0" applyNumberFormat="1" applyFont="1" applyFill="1" applyBorder="1"/>
    <xf numFmtId="171" fontId="2" fillId="14" borderId="1" xfId="0" applyNumberFormat="1" applyFont="1" applyFill="1" applyBorder="1"/>
    <xf numFmtId="166" fontId="2" fillId="4" borderId="1" xfId="0" applyNumberFormat="1" applyFont="1" applyFill="1" applyBorder="1"/>
    <xf numFmtId="4" fontId="4" fillId="14" borderId="1" xfId="0" applyNumberFormat="1" applyFont="1" applyFill="1" applyBorder="1"/>
    <xf numFmtId="170" fontId="2" fillId="14" borderId="1" xfId="0" applyNumberFormat="1" applyFont="1" applyFill="1" applyBorder="1"/>
    <xf numFmtId="14" fontId="2" fillId="11" borderId="1" xfId="0" applyNumberFormat="1" applyFont="1" applyFill="1" applyBorder="1"/>
    <xf numFmtId="0" fontId="5" fillId="9" borderId="1" xfId="0" applyFont="1" applyFill="1" applyBorder="1"/>
    <xf numFmtId="17" fontId="2" fillId="15" borderId="1" xfId="0" applyNumberFormat="1" applyFont="1" applyFill="1" applyBorder="1"/>
    <xf numFmtId="3" fontId="2" fillId="15" borderId="1" xfId="0" applyNumberFormat="1" applyFont="1" applyFill="1" applyBorder="1"/>
    <xf numFmtId="0" fontId="2" fillId="15" borderId="1" xfId="0" applyFont="1" applyFill="1" applyBorder="1"/>
    <xf numFmtId="170" fontId="2" fillId="16" borderId="1" xfId="0" applyNumberFormat="1" applyFont="1" applyFill="1" applyBorder="1"/>
    <xf numFmtId="4" fontId="2" fillId="16" borderId="1" xfId="0" applyNumberFormat="1" applyFont="1" applyFill="1" applyBorder="1"/>
    <xf numFmtId="4" fontId="2" fillId="15" borderId="1" xfId="0" applyNumberFormat="1" applyFont="1" applyFill="1" applyBorder="1"/>
    <xf numFmtId="10" fontId="2" fillId="16" borderId="1" xfId="0" applyNumberFormat="1" applyFont="1" applyFill="1" applyBorder="1"/>
    <xf numFmtId="2" fontId="2" fillId="16" borderId="1" xfId="0" applyNumberFormat="1" applyFont="1" applyFill="1" applyBorder="1"/>
    <xf numFmtId="3" fontId="6" fillId="15" borderId="1" xfId="0" applyNumberFormat="1" applyFont="1" applyFill="1" applyBorder="1" applyAlignment="1">
      <alignment horizontal="right"/>
    </xf>
    <xf numFmtId="0" fontId="6" fillId="15" borderId="1" xfId="0" applyFont="1" applyFill="1" applyBorder="1" applyAlignment="1">
      <alignment horizontal="right"/>
    </xf>
    <xf numFmtId="0" fontId="6" fillId="15" borderId="1" xfId="0" applyFont="1" applyFill="1" applyBorder="1"/>
    <xf numFmtId="4" fontId="6" fillId="15" borderId="1" xfId="0" applyNumberFormat="1" applyFont="1" applyFill="1" applyBorder="1"/>
    <xf numFmtId="4" fontId="6" fillId="15" borderId="1" xfId="0" applyNumberFormat="1" applyFont="1" applyFill="1" applyBorder="1" applyAlignment="1">
      <alignment horizontal="right"/>
    </xf>
    <xf numFmtId="4" fontId="0" fillId="0" borderId="0" xfId="0" applyNumberFormat="1"/>
    <xf numFmtId="9" fontId="2" fillId="3" borderId="1" xfId="1" applyFont="1" applyFill="1" applyBorder="1"/>
    <xf numFmtId="167" fontId="2" fillId="3" borderId="1" xfId="1" applyNumberFormat="1" applyFont="1" applyFill="1" applyBorder="1"/>
    <xf numFmtId="10" fontId="0" fillId="0" borderId="0" xfId="1" applyNumberFormat="1" applyFont="1"/>
    <xf numFmtId="0" fontId="1" fillId="0" borderId="0" xfId="0" applyFont="1"/>
    <xf numFmtId="0" fontId="1" fillId="0" borderId="9" xfId="0" applyFont="1" applyBorder="1"/>
    <xf numFmtId="4" fontId="0" fillId="0" borderId="9" xfId="0" applyNumberFormat="1" applyBorder="1"/>
    <xf numFmtId="170" fontId="0" fillId="0" borderId="9" xfId="0" applyNumberFormat="1" applyBorder="1"/>
    <xf numFmtId="0" fontId="0" fillId="0" borderId="9" xfId="0" applyBorder="1"/>
    <xf numFmtId="10" fontId="0" fillId="0" borderId="9" xfId="0" applyNumberFormat="1" applyBorder="1"/>
    <xf numFmtId="9" fontId="0" fillId="0" borderId="9" xfId="0" applyNumberFormat="1" applyBorder="1"/>
    <xf numFmtId="14" fontId="0" fillId="0" borderId="0" xfId="0" applyNumberForma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NULL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NULL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NULL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customschemas.google.com/relationships/workbookmetadata" Target="NUL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Receita</c:v>
          </c:tx>
          <c:spPr>
            <a:solidFill>
              <a:srgbClr val="F06B00"/>
            </a:solidFill>
            <a:ln cmpd="sng">
              <a:noFill/>
            </a:ln>
          </c:spPr>
          <c:invertIfNegative val="1"/>
          <c:cat>
            <c:numRef>
              <c:f>Projeção!$AI$4:$AI$18</c:f>
              <c:numCache>
                <c:formatCode>0</c:formatCod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</c:numCache>
            </c:numRef>
          </c:cat>
          <c:val>
            <c:numRef>
              <c:f>Projeção!$AJ$4:$AJ$18</c:f>
              <c:numCache>
                <c:formatCode>_-* #,##0.00_-;\-* #,##0.00_-;_-* "-"??_-;_-@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46972.693107799991</c:v>
                </c:pt>
                <c:pt idx="3">
                  <c:v>68012.574777000002</c:v>
                </c:pt>
                <c:pt idx="4">
                  <c:v>97270.246517449021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E43-4628-A71A-4BB5B9499529}"/>
            </c:ext>
          </c:extLst>
        </c:ser>
        <c:ser>
          <c:idx val="1"/>
          <c:order val="1"/>
          <c:tx>
            <c:v>Lucro líquido</c:v>
          </c:tx>
          <c:spPr>
            <a:solidFill>
              <a:srgbClr val="136388"/>
            </a:solidFill>
            <a:ln cmpd="sng">
              <a:noFill/>
            </a:ln>
          </c:spPr>
          <c:invertIfNegative val="1"/>
          <c:cat>
            <c:numRef>
              <c:f>Projeção!$AI$4:$AI$18</c:f>
              <c:numCache>
                <c:formatCode>0</c:formatCod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</c:numCache>
            </c:numRef>
          </c:cat>
          <c:val>
            <c:numRef>
              <c:f>Projeção!$AK$4:$AK$18</c:f>
              <c:numCache>
                <c:formatCode>_-* #,##0.00_-;\-* #,##0.00_-;_-* "-"??_-;_-@</c:formatCode>
                <c:ptCount val="15"/>
                <c:pt idx="0">
                  <c:v>-26906.793458238146</c:v>
                </c:pt>
                <c:pt idx="1">
                  <c:v>-58587.436717761419</c:v>
                </c:pt>
                <c:pt idx="2">
                  <c:v>-8405.4045810144307</c:v>
                </c:pt>
                <c:pt idx="3">
                  <c:v>26193.175610300495</c:v>
                </c:pt>
                <c:pt idx="4">
                  <c:v>64451.601962302222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E43-4628-A71A-4BB5B9499529}"/>
            </c:ext>
          </c:extLst>
        </c:ser>
        <c:ser>
          <c:idx val="2"/>
          <c:order val="2"/>
          <c:tx>
            <c:v>EBITDA</c:v>
          </c:tx>
          <c:spPr>
            <a:solidFill>
              <a:srgbClr val="777777"/>
            </a:solidFill>
            <a:ln cmpd="sng">
              <a:noFill/>
            </a:ln>
          </c:spPr>
          <c:invertIfNegative val="1"/>
          <c:cat>
            <c:numRef>
              <c:f>Projeção!$AI$4:$AI$18</c:f>
              <c:numCache>
                <c:formatCode>0</c:formatCod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</c:numCache>
            </c:numRef>
          </c:cat>
          <c:val>
            <c:numRef>
              <c:f>Projeção!$AL$4:$AL$18</c:f>
              <c:numCache>
                <c:formatCode>_-* #,##0.00_-;\-* #,##0.00_-;_-* "-"??_-;_-@</c:formatCode>
                <c:ptCount val="15"/>
                <c:pt idx="0">
                  <c:v>-1500</c:v>
                </c:pt>
                <c:pt idx="1">
                  <c:v>-3600</c:v>
                </c:pt>
                <c:pt idx="2">
                  <c:v>39586.673107800001</c:v>
                </c:pt>
                <c:pt idx="3">
                  <c:v>63658.574777000002</c:v>
                </c:pt>
                <c:pt idx="4">
                  <c:v>93370.246517449021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E43-4628-A71A-4BB5B9499529}"/>
            </c:ext>
          </c:extLst>
        </c:ser>
        <c:ser>
          <c:idx val="3"/>
          <c:order val="3"/>
          <c:tx>
            <c:v>Fluxo de caixa líquido</c:v>
          </c:tx>
          <c:spPr>
            <a:solidFill>
              <a:srgbClr val="63A537"/>
            </a:solidFill>
            <a:ln cmpd="sng">
              <a:noFill/>
            </a:ln>
          </c:spPr>
          <c:invertIfNegative val="1"/>
          <c:cat>
            <c:numRef>
              <c:f>Projeção!$AI$4:$AI$18</c:f>
              <c:numCache>
                <c:formatCode>0</c:formatCod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</c:numCache>
            </c:numRef>
          </c:cat>
          <c:val>
            <c:numRef>
              <c:f>Projeção!$AM$4:$AM$18</c:f>
              <c:numCache>
                <c:formatCode>_-* #,##0.00_-;\-* #,##0.00_-;_-* "-"??_-;_-@</c:formatCode>
                <c:ptCount val="15"/>
                <c:pt idx="0">
                  <c:v>-44726.201706748921</c:v>
                </c:pt>
                <c:pt idx="1">
                  <c:v>-107342.88409619739</c:v>
                </c:pt>
                <c:pt idx="2">
                  <c:v>-64156.210988397419</c:v>
                </c:pt>
                <c:pt idx="3">
                  <c:v>-40084.309319197411</c:v>
                </c:pt>
                <c:pt idx="4">
                  <c:v>-19017.877920098195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FE43-4628-A71A-4BB5B9499529}"/>
            </c:ext>
          </c:extLst>
        </c:ser>
        <c:ser>
          <c:idx val="4"/>
          <c:order val="4"/>
          <c:invertIfNegative val="1"/>
          <c:cat>
            <c:numRef>
              <c:f>Projeção!$AI$4:$AI$18</c:f>
              <c:numCache>
                <c:formatCode>0</c:formatCod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</c:numCache>
            </c:numRef>
          </c:cat>
          <c:val>
            <c:numRef>
              <c:f>Projeção!$AN$4:$AN$18</c:f>
              <c:numCache>
                <c:formatCode>_-* #,##0.00_-;\-* #,##0.00_-;_-* "-"??_-;_-@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43-4628-A71A-4BB5B9499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2527860"/>
        <c:axId val="997539698"/>
      </c:barChart>
      <c:catAx>
        <c:axId val="21425278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997539698"/>
        <c:crosses val="autoZero"/>
        <c:auto val="1"/>
        <c:lblAlgn val="ctr"/>
        <c:lblOffset val="100"/>
        <c:noMultiLvlLbl val="1"/>
      </c:catAx>
      <c:valAx>
        <c:axId val="9975396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+mn-lt"/>
                  </a:rPr>
                  <a:t>R$</a:t>
                </a:r>
              </a:p>
            </c:rich>
          </c:tx>
          <c:overlay val="0"/>
        </c:title>
        <c:numFmt formatCode="_-* #,##0.00_-;\-* #,##0.00_-;_-* &quot;-&quot;??_-;_-@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14252786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F06B00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latin typeface="+mn-lt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'Faturamento Itaipu'!$A$10:$A$21</c:f>
              <c:numCache>
                <c:formatCode>mmm\-yy</c:formatCode>
                <c:ptCount val="12"/>
                <c:pt idx="0">
                  <c:v>45231</c:v>
                </c:pt>
                <c:pt idx="1">
                  <c:v>45261</c:v>
                </c:pt>
                <c:pt idx="2">
                  <c:v>45292</c:v>
                </c:pt>
                <c:pt idx="3">
                  <c:v>45323</c:v>
                </c:pt>
                <c:pt idx="4">
                  <c:v>45352</c:v>
                </c:pt>
                <c:pt idx="5">
                  <c:v>45383</c:v>
                </c:pt>
                <c:pt idx="6">
                  <c:v>45413</c:v>
                </c:pt>
                <c:pt idx="7">
                  <c:v>45444</c:v>
                </c:pt>
                <c:pt idx="8">
                  <c:v>45474</c:v>
                </c:pt>
                <c:pt idx="9">
                  <c:v>45505</c:v>
                </c:pt>
                <c:pt idx="10">
                  <c:v>45536</c:v>
                </c:pt>
                <c:pt idx="11">
                  <c:v>45566</c:v>
                </c:pt>
              </c:numCache>
            </c:numRef>
          </c:cat>
          <c:val>
            <c:numRef>
              <c:f>'Faturamento Itaipu'!$B$10:$B$21</c:f>
              <c:numCache>
                <c:formatCode>#,##0</c:formatCode>
                <c:ptCount val="12"/>
                <c:pt idx="0">
                  <c:v>2711</c:v>
                </c:pt>
                <c:pt idx="1">
                  <c:v>2575</c:v>
                </c:pt>
                <c:pt idx="2">
                  <c:v>3038</c:v>
                </c:pt>
                <c:pt idx="3">
                  <c:v>2815</c:v>
                </c:pt>
                <c:pt idx="4">
                  <c:v>2975</c:v>
                </c:pt>
                <c:pt idx="5">
                  <c:v>2631</c:v>
                </c:pt>
                <c:pt idx="6">
                  <c:v>2568</c:v>
                </c:pt>
                <c:pt idx="7">
                  <c:v>2396</c:v>
                </c:pt>
                <c:pt idx="8">
                  <c:v>2092</c:v>
                </c:pt>
                <c:pt idx="9">
                  <c:v>2125</c:v>
                </c:pt>
                <c:pt idx="10">
                  <c:v>2603</c:v>
                </c:pt>
                <c:pt idx="11">
                  <c:v>2813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A45-496D-B835-56D256299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3587227"/>
        <c:axId val="1505669355"/>
      </c:barChart>
      <c:dateAx>
        <c:axId val="198358722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mmm\-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505669355"/>
        <c:crosses val="autoZero"/>
        <c:auto val="1"/>
        <c:lblOffset val="100"/>
        <c:baseTimeUnit val="months"/>
      </c:dateAx>
      <c:valAx>
        <c:axId val="15056693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983587227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Desconto total (R$)</c:v>
          </c:tx>
          <c:spPr>
            <a:solidFill>
              <a:srgbClr val="F06B00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latin typeface="+mn-lt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'Faturamento Itaipu'!$A$10:$A$21</c:f>
              <c:numCache>
                <c:formatCode>mmm\-yy</c:formatCode>
                <c:ptCount val="12"/>
                <c:pt idx="0">
                  <c:v>45231</c:v>
                </c:pt>
                <c:pt idx="1">
                  <c:v>45261</c:v>
                </c:pt>
                <c:pt idx="2">
                  <c:v>45292</c:v>
                </c:pt>
                <c:pt idx="3">
                  <c:v>45323</c:v>
                </c:pt>
                <c:pt idx="4">
                  <c:v>45352</c:v>
                </c:pt>
                <c:pt idx="5">
                  <c:v>45383</c:v>
                </c:pt>
                <c:pt idx="6">
                  <c:v>45413</c:v>
                </c:pt>
                <c:pt idx="7">
                  <c:v>45444</c:v>
                </c:pt>
                <c:pt idx="8">
                  <c:v>45474</c:v>
                </c:pt>
                <c:pt idx="9">
                  <c:v>45505</c:v>
                </c:pt>
                <c:pt idx="10">
                  <c:v>45536</c:v>
                </c:pt>
                <c:pt idx="11">
                  <c:v>45566</c:v>
                </c:pt>
              </c:numCache>
            </c:numRef>
          </c:cat>
          <c:val>
            <c:numRef>
              <c:f>'Faturamento Itaipu'!$M$10:$M$21</c:f>
              <c:numCache>
                <c:formatCode>#,##0.00</c:formatCode>
                <c:ptCount val="12"/>
                <c:pt idx="0">
                  <c:v>321.21283500000004</c:v>
                </c:pt>
                <c:pt idx="1">
                  <c:v>316.64517499999999</c:v>
                </c:pt>
                <c:pt idx="2">
                  <c:v>370.63600000000002</c:v>
                </c:pt>
                <c:pt idx="3">
                  <c:v>342.58550000000002</c:v>
                </c:pt>
                <c:pt idx="4">
                  <c:v>354.11425000000008</c:v>
                </c:pt>
                <c:pt idx="5">
                  <c:v>329.1854580000001</c:v>
                </c:pt>
                <c:pt idx="6">
                  <c:v>317.15570400000001</c:v>
                </c:pt>
                <c:pt idx="7">
                  <c:v>305.48999999999995</c:v>
                </c:pt>
                <c:pt idx="8">
                  <c:v>298.63090799999998</c:v>
                </c:pt>
                <c:pt idx="9">
                  <c:v>286.66649999999998</c:v>
                </c:pt>
                <c:pt idx="10">
                  <c:v>439.31047600000005</c:v>
                </c:pt>
                <c:pt idx="11">
                  <c:v>638.16435000000001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F38-4506-8365-9FC045F17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5367412"/>
        <c:axId val="73407441"/>
      </c:barChart>
      <c:dateAx>
        <c:axId val="19253674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mmm\-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73407441"/>
        <c:crosses val="autoZero"/>
        <c:auto val="1"/>
        <c:lblOffset val="100"/>
        <c:baseTimeUnit val="months"/>
      </c:dateAx>
      <c:valAx>
        <c:axId val="7340744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92536741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Desconto</a:t>
            </a:r>
            <a:r>
              <a:rPr lang="en-US" baseline="0"/>
              <a:t> Zeta GD (R$) nos últimos 12 meses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Desconto total (R$)</c:v>
          </c:tx>
          <c:spPr>
            <a:solidFill>
              <a:srgbClr val="F06B00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latin typeface="+mn-lt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'Faturamento Icaraí'!$A$32:$A$43</c:f>
              <c:numCache>
                <c:formatCode>mmm\-yy</c:formatCode>
                <c:ptCount val="12"/>
                <c:pt idx="0">
                  <c:v>45901</c:v>
                </c:pt>
                <c:pt idx="1">
                  <c:v>45931</c:v>
                </c:pt>
                <c:pt idx="2">
                  <c:v>45962</c:v>
                </c:pt>
                <c:pt idx="3">
                  <c:v>45992</c:v>
                </c:pt>
                <c:pt idx="4">
                  <c:v>46023</c:v>
                </c:pt>
                <c:pt idx="5">
                  <c:v>46054</c:v>
                </c:pt>
                <c:pt idx="6">
                  <c:v>46082</c:v>
                </c:pt>
                <c:pt idx="7">
                  <c:v>46113</c:v>
                </c:pt>
                <c:pt idx="8">
                  <c:v>46143</c:v>
                </c:pt>
                <c:pt idx="9">
                  <c:v>46174</c:v>
                </c:pt>
                <c:pt idx="10">
                  <c:v>46204</c:v>
                </c:pt>
                <c:pt idx="11">
                  <c:v>46235</c:v>
                </c:pt>
              </c:numCache>
            </c:numRef>
          </c:cat>
          <c:val>
            <c:numRef>
              <c:f>'Faturamento Icaraí'!$Q$32:$Q$43</c:f>
              <c:numCache>
                <c:formatCode>#,##0.00</c:formatCode>
                <c:ptCount val="12"/>
                <c:pt idx="0">
                  <c:v>856.3864759999999</c:v>
                </c:pt>
                <c:pt idx="1">
                  <c:v>764.52984900000001</c:v>
                </c:pt>
                <c:pt idx="2">
                  <c:v>752.58936999999992</c:v>
                </c:pt>
                <c:pt idx="3">
                  <c:v>778.24668000000008</c:v>
                </c:pt>
                <c:pt idx="4">
                  <c:v>686.05292500000019</c:v>
                </c:pt>
                <c:pt idx="5">
                  <c:v>565.99871400000006</c:v>
                </c:pt>
                <c:pt idx="6">
                  <c:v>609.75864000000001</c:v>
                </c:pt>
                <c:pt idx="7">
                  <c:v>603.65231200000005</c:v>
                </c:pt>
                <c:pt idx="8">
                  <c:v>642.27889400000004</c:v>
                </c:pt>
                <c:pt idx="9">
                  <c:v>556.51288399999999</c:v>
                </c:pt>
                <c:pt idx="10">
                  <c:v>617.02402200000006</c:v>
                </c:pt>
                <c:pt idx="11">
                  <c:v>413.62354499999998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63D-45C8-96FB-D376E9268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7684175"/>
        <c:axId val="838713362"/>
      </c:barChart>
      <c:dateAx>
        <c:axId val="2097684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mmm\-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838713362"/>
        <c:crosses val="autoZero"/>
        <c:auto val="1"/>
        <c:lblOffset val="100"/>
        <c:baseTimeUnit val="months"/>
      </c:dateAx>
      <c:valAx>
        <c:axId val="83871336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09768417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Consumo (kWh) nos últimos 12 meses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Consumo (kWh)</c:v>
          </c:tx>
          <c:spPr>
            <a:solidFill>
              <a:srgbClr val="F06B00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latin typeface="+mn-lt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'Faturamento Icaraí'!$A$32:$A$43</c:f>
              <c:numCache>
                <c:formatCode>mmm\-yy</c:formatCode>
                <c:ptCount val="12"/>
                <c:pt idx="0">
                  <c:v>45901</c:v>
                </c:pt>
                <c:pt idx="1">
                  <c:v>45931</c:v>
                </c:pt>
                <c:pt idx="2">
                  <c:v>45962</c:v>
                </c:pt>
                <c:pt idx="3">
                  <c:v>45992</c:v>
                </c:pt>
                <c:pt idx="4">
                  <c:v>46023</c:v>
                </c:pt>
                <c:pt idx="5">
                  <c:v>46054</c:v>
                </c:pt>
                <c:pt idx="6">
                  <c:v>46082</c:v>
                </c:pt>
                <c:pt idx="7">
                  <c:v>46113</c:v>
                </c:pt>
                <c:pt idx="8">
                  <c:v>46143</c:v>
                </c:pt>
                <c:pt idx="9">
                  <c:v>46174</c:v>
                </c:pt>
                <c:pt idx="10">
                  <c:v>46204</c:v>
                </c:pt>
                <c:pt idx="11">
                  <c:v>46235</c:v>
                </c:pt>
              </c:numCache>
            </c:numRef>
          </c:cat>
          <c:val>
            <c:numRef>
              <c:f>'Faturamento Icaraí'!$B$32:$B$43</c:f>
              <c:numCache>
                <c:formatCode>#,##0</c:formatCode>
                <c:ptCount val="12"/>
                <c:pt idx="0">
                  <c:v>4109</c:v>
                </c:pt>
                <c:pt idx="1">
                  <c:v>4093</c:v>
                </c:pt>
                <c:pt idx="2">
                  <c:v>4238</c:v>
                </c:pt>
                <c:pt idx="3">
                  <c:v>4908</c:v>
                </c:pt>
                <c:pt idx="4">
                  <c:v>4957</c:v>
                </c:pt>
                <c:pt idx="5">
                  <c:v>4359</c:v>
                </c:pt>
                <c:pt idx="6">
                  <c:v>4611</c:v>
                </c:pt>
                <c:pt idx="7">
                  <c:v>4024</c:v>
                </c:pt>
                <c:pt idx="8">
                  <c:v>3931</c:v>
                </c:pt>
                <c:pt idx="9">
                  <c:v>3423</c:v>
                </c:pt>
                <c:pt idx="10">
                  <c:v>3731</c:v>
                </c:pt>
                <c:pt idx="11">
                  <c:v>4186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FB0-45E1-8D40-B0088FDFE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4610156"/>
        <c:axId val="750323064"/>
      </c:barChart>
      <c:dateAx>
        <c:axId val="104461015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mmm\-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750323064"/>
        <c:crosses val="autoZero"/>
        <c:auto val="1"/>
        <c:lblOffset val="100"/>
        <c:baseTimeUnit val="months"/>
      </c:dateAx>
      <c:valAx>
        <c:axId val="750323064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44610156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Fatura Enel (R$)</c:v>
          </c:tx>
          <c:spPr>
            <a:solidFill>
              <a:srgbClr val="F06B00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'Faturamento Icaraí'!$A$12:$A$23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'Faturamento Icaraí'!$M$12:$M$23</c:f>
              <c:numCache>
                <c:formatCode>#,##0.00</c:formatCode>
                <c:ptCount val="12"/>
                <c:pt idx="0">
                  <c:v>500.25</c:v>
                </c:pt>
                <c:pt idx="1">
                  <c:v>382.69</c:v>
                </c:pt>
                <c:pt idx="2">
                  <c:v>498.68</c:v>
                </c:pt>
                <c:pt idx="3">
                  <c:v>646.62</c:v>
                </c:pt>
                <c:pt idx="4">
                  <c:v>480.11</c:v>
                </c:pt>
                <c:pt idx="5">
                  <c:v>1371.18</c:v>
                </c:pt>
                <c:pt idx="6">
                  <c:v>3593.73</c:v>
                </c:pt>
                <c:pt idx="7">
                  <c:v>4910.87</c:v>
                </c:pt>
                <c:pt idx="8">
                  <c:v>5163.99</c:v>
                </c:pt>
                <c:pt idx="9">
                  <c:v>6720.23</c:v>
                </c:pt>
                <c:pt idx="10">
                  <c:v>6251.2</c:v>
                </c:pt>
                <c:pt idx="11">
                  <c:v>6492.23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632-438A-B35B-67E9C7A3A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8967115"/>
        <c:axId val="1965459018"/>
      </c:barChart>
      <c:dateAx>
        <c:axId val="6289671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mmm\-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pt-BR"/>
          </a:p>
        </c:txPr>
        <c:crossAx val="1965459018"/>
        <c:crosses val="autoZero"/>
        <c:auto val="1"/>
        <c:lblOffset val="100"/>
        <c:baseTimeUnit val="months"/>
      </c:dateAx>
      <c:valAx>
        <c:axId val="196545901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62896711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F06B00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latin typeface="+mn-lt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'Faturamento Laura Jardim'!$A$13:$A$24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'Faturamento Laura Jardim'!$B$13:$B$24</c:f>
              <c:numCache>
                <c:formatCode>#,##0</c:formatCode>
                <c:ptCount val="12"/>
                <c:pt idx="0">
                  <c:v>1211</c:v>
                </c:pt>
                <c:pt idx="1">
                  <c:v>1341</c:v>
                </c:pt>
                <c:pt idx="2">
                  <c:v>1292</c:v>
                </c:pt>
                <c:pt idx="3">
                  <c:v>1283</c:v>
                </c:pt>
                <c:pt idx="4">
                  <c:v>1302</c:v>
                </c:pt>
                <c:pt idx="5">
                  <c:v>1243</c:v>
                </c:pt>
                <c:pt idx="6">
                  <c:v>1249</c:v>
                </c:pt>
                <c:pt idx="7">
                  <c:v>1229</c:v>
                </c:pt>
                <c:pt idx="8">
                  <c:v>1063</c:v>
                </c:pt>
                <c:pt idx="9">
                  <c:v>1156</c:v>
                </c:pt>
                <c:pt idx="10">
                  <c:v>1236</c:v>
                </c:pt>
                <c:pt idx="11">
                  <c:v>1344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C0E-4F4F-B09D-9A1398571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6510763"/>
        <c:axId val="764197156"/>
      </c:barChart>
      <c:dateAx>
        <c:axId val="134651076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mmm\-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764197156"/>
        <c:crosses val="autoZero"/>
        <c:auto val="1"/>
        <c:lblOffset val="100"/>
        <c:baseTimeUnit val="months"/>
      </c:dateAx>
      <c:valAx>
        <c:axId val="764197156"/>
        <c:scaling>
          <c:orientation val="minMax"/>
          <c:min val="50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346510763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44</xdr:col>
      <xdr:colOff>47625</xdr:colOff>
      <xdr:row>4</xdr:row>
      <xdr:rowOff>19050</xdr:rowOff>
    </xdr:from>
    <xdr:ext cx="5705475" cy="3495675"/>
    <xdr:graphicFrame macro="">
      <xdr:nvGraphicFramePr>
        <xdr:cNvPr id="1811269236" name="Chart 1" title="Gráfico">
          <a:extLst>
            <a:ext uri="{FF2B5EF4-FFF2-40B4-BE49-F238E27FC236}">
              <a16:creationId xmlns:a16="http://schemas.microsoft.com/office/drawing/2014/main" id="{00000000-0008-0000-0100-000074C6F5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276225</xdr:colOff>
      <xdr:row>16</xdr:row>
      <xdr:rowOff>0</xdr:rowOff>
    </xdr:from>
    <xdr:ext cx="1924050" cy="2609850"/>
    <xdr:graphicFrame macro="">
      <xdr:nvGraphicFramePr>
        <xdr:cNvPr id="1252238921" name="Chart 2">
          <a:extLst>
            <a:ext uri="{FF2B5EF4-FFF2-40B4-BE49-F238E27FC236}">
              <a16:creationId xmlns:a16="http://schemas.microsoft.com/office/drawing/2014/main" id="{00000000-0008-0000-0A00-000049A6A3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19</xdr:col>
      <xdr:colOff>209550</xdr:colOff>
      <xdr:row>8</xdr:row>
      <xdr:rowOff>47625</xdr:rowOff>
    </xdr:from>
    <xdr:ext cx="5943600" cy="1466850"/>
    <xdr:graphicFrame macro="">
      <xdr:nvGraphicFramePr>
        <xdr:cNvPr id="1240646000" name="Chart 3">
          <a:extLst>
            <a:ext uri="{FF2B5EF4-FFF2-40B4-BE49-F238E27FC236}">
              <a16:creationId xmlns:a16="http://schemas.microsoft.com/office/drawing/2014/main" id="{00000000-0008-0000-0A00-000070C1F2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32</xdr:col>
      <xdr:colOff>19328</xdr:colOff>
      <xdr:row>19</xdr:row>
      <xdr:rowOff>154349</xdr:rowOff>
    </xdr:from>
    <xdr:ext cx="5943600" cy="1828633"/>
    <xdr:graphicFrame macro="">
      <xdr:nvGraphicFramePr>
        <xdr:cNvPr id="92332051" name="Chart 4" title="Gráfico">
          <a:extLst>
            <a:ext uri="{FF2B5EF4-FFF2-40B4-BE49-F238E27FC236}">
              <a16:creationId xmlns:a16="http://schemas.microsoft.com/office/drawing/2014/main" id="{00000000-0008-0000-0B00-000013E080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37</xdr:col>
      <xdr:colOff>688361</xdr:colOff>
      <xdr:row>1</xdr:row>
      <xdr:rowOff>49240</xdr:rowOff>
    </xdr:from>
    <xdr:ext cx="2598041" cy="3459970"/>
    <xdr:graphicFrame macro="">
      <xdr:nvGraphicFramePr>
        <xdr:cNvPr id="1088347911" name="Chart 5" title="Gráfico">
          <a:extLst>
            <a:ext uri="{FF2B5EF4-FFF2-40B4-BE49-F238E27FC236}">
              <a16:creationId xmlns:a16="http://schemas.microsoft.com/office/drawing/2014/main" id="{00000000-0008-0000-0B00-000007DFD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23</xdr:col>
      <xdr:colOff>504825</xdr:colOff>
      <xdr:row>32</xdr:row>
      <xdr:rowOff>57150</xdr:rowOff>
    </xdr:from>
    <xdr:ext cx="6210300" cy="1524000"/>
    <xdr:graphicFrame macro="">
      <xdr:nvGraphicFramePr>
        <xdr:cNvPr id="1219924618" name="Chart 6" title="Gráfico">
          <a:extLst>
            <a:ext uri="{FF2B5EF4-FFF2-40B4-BE49-F238E27FC236}">
              <a16:creationId xmlns:a16="http://schemas.microsoft.com/office/drawing/2014/main" id="{00000000-0008-0000-0B00-00008A92B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twoCellAnchor editAs="oneCell">
    <xdr:from>
      <xdr:col>30</xdr:col>
      <xdr:colOff>22281</xdr:colOff>
      <xdr:row>0</xdr:row>
      <xdr:rowOff>89123</xdr:rowOff>
    </xdr:from>
    <xdr:to>
      <xdr:col>31</xdr:col>
      <xdr:colOff>936681</xdr:colOff>
      <xdr:row>8</xdr:row>
      <xdr:rowOff>52137</xdr:rowOff>
    </xdr:to>
    <xdr:pic>
      <xdr:nvPicPr>
        <xdr:cNvPr id="2" name="Imagem 1" descr="Logotipo">
          <a:extLst>
            <a:ext uri="{FF2B5EF4-FFF2-40B4-BE49-F238E27FC236}">
              <a16:creationId xmlns:a16="http://schemas.microsoft.com/office/drawing/2014/main" id="{7DD3277E-BEF7-A324-4D9E-5EA1BC147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83158" y="89123"/>
          <a:ext cx="1928172" cy="1478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21</xdr:row>
      <xdr:rowOff>0</xdr:rowOff>
    </xdr:from>
    <xdr:to>
      <xdr:col>38</xdr:col>
      <xdr:colOff>908050</xdr:colOff>
      <xdr:row>25</xdr:row>
      <xdr:rowOff>127000</xdr:rowOff>
    </xdr:to>
    <xdr:pic>
      <xdr:nvPicPr>
        <xdr:cNvPr id="3" name="Imagem 2" descr="Código QR&#10;&#10;Descrição gerada automaticamente">
          <a:extLst>
            <a:ext uri="{FF2B5EF4-FFF2-40B4-BE49-F238E27FC236}">
              <a16:creationId xmlns:a16="http://schemas.microsoft.com/office/drawing/2014/main" id="{8405A460-570A-7456-4637-0C9BF5A68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93950" y="3879850"/>
          <a:ext cx="90805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3</xdr:row>
      <xdr:rowOff>0</xdr:rowOff>
    </xdr:from>
    <xdr:ext cx="2495550" cy="2562225"/>
    <xdr:graphicFrame macro="">
      <xdr:nvGraphicFramePr>
        <xdr:cNvPr id="1929265292" name="Chart 7">
          <a:extLst>
            <a:ext uri="{FF2B5EF4-FFF2-40B4-BE49-F238E27FC236}">
              <a16:creationId xmlns:a16="http://schemas.microsoft.com/office/drawing/2014/main" id="{00000000-0008-0000-0C00-00008C40FE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06B00"/>
      </a:accent1>
      <a:accent2>
        <a:srgbClr val="136388"/>
      </a:accent2>
      <a:accent3>
        <a:srgbClr val="777777"/>
      </a:accent3>
      <a:accent4>
        <a:srgbClr val="63A537"/>
      </a:accent4>
      <a:accent5>
        <a:srgbClr val="E95000"/>
      </a:accent5>
      <a:accent6>
        <a:srgbClr val="20A5E0"/>
      </a:accent6>
      <a:hlink>
        <a:srgbClr val="0070C0"/>
      </a:hlink>
      <a:folHlink>
        <a:srgbClr val="0070C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H1000"/>
  <sheetViews>
    <sheetView showGridLines="0" topLeftCell="A51" workbookViewId="0">
      <selection activeCell="D62" sqref="D62"/>
    </sheetView>
  </sheetViews>
  <sheetFormatPr defaultColWidth="14.453125" defaultRowHeight="15" customHeight="1" x14ac:dyDescent="0.35"/>
  <cols>
    <col min="1" max="2" width="8.7265625" customWidth="1"/>
    <col min="3" max="3" width="10.7265625" customWidth="1"/>
    <col min="4" max="4" width="19.1796875" customWidth="1"/>
    <col min="5" max="5" width="31" customWidth="1"/>
    <col min="6" max="8" width="22" customWidth="1"/>
    <col min="9" max="9" width="8.7265625" customWidth="1"/>
    <col min="10" max="10" width="21.81640625" customWidth="1"/>
    <col min="11" max="11" width="26.54296875" customWidth="1"/>
    <col min="12" max="12" width="18" customWidth="1"/>
    <col min="13" max="14" width="24.453125" customWidth="1"/>
    <col min="15" max="15" width="9.54296875" customWidth="1"/>
    <col min="16" max="16" width="12.1796875" customWidth="1"/>
    <col min="17" max="17" width="21.54296875" customWidth="1"/>
    <col min="18" max="18" width="9.54296875" customWidth="1"/>
    <col min="19" max="19" width="25" customWidth="1"/>
    <col min="20" max="20" width="9.54296875" customWidth="1"/>
    <col min="21" max="21" width="19.81640625" customWidth="1"/>
    <col min="22" max="22" width="30.54296875" customWidth="1"/>
    <col min="23" max="23" width="9.26953125" customWidth="1"/>
    <col min="24" max="24" width="12.453125" customWidth="1"/>
    <col min="25" max="25" width="8.7265625" customWidth="1"/>
    <col min="26" max="27" width="24.7265625" customWidth="1"/>
    <col min="28" max="28" width="26.26953125" customWidth="1"/>
    <col min="29" max="30" width="30.1796875" customWidth="1"/>
    <col min="31" max="31" width="16.54296875" customWidth="1"/>
    <col min="32" max="33" width="11.54296875" customWidth="1"/>
  </cols>
  <sheetData>
    <row r="1" spans="1:33" ht="14.5" x14ac:dyDescent="0.35">
      <c r="A1" s="1" t="s">
        <v>0</v>
      </c>
    </row>
    <row r="2" spans="1:33" ht="14.5" x14ac:dyDescent="0.35">
      <c r="A2" s="2"/>
      <c r="B2" s="3"/>
      <c r="C2" s="4" t="s">
        <v>1</v>
      </c>
      <c r="D2" s="3" t="s">
        <v>2</v>
      </c>
      <c r="E2" s="3" t="s">
        <v>3</v>
      </c>
      <c r="F2" s="3" t="s">
        <v>4</v>
      </c>
      <c r="G2" s="3" t="s">
        <v>4</v>
      </c>
      <c r="H2" s="3" t="s">
        <v>4</v>
      </c>
      <c r="I2" s="3" t="s">
        <v>5</v>
      </c>
      <c r="J2" s="3" t="s">
        <v>6</v>
      </c>
      <c r="K2" s="3" t="s">
        <v>6</v>
      </c>
      <c r="L2" s="3" t="s">
        <v>7</v>
      </c>
      <c r="M2" s="3" t="s">
        <v>8</v>
      </c>
      <c r="N2" s="3" t="s">
        <v>9</v>
      </c>
      <c r="P2" s="3" t="s">
        <v>10</v>
      </c>
      <c r="Q2" s="3" t="s">
        <v>10</v>
      </c>
      <c r="R2" s="3" t="s">
        <v>10</v>
      </c>
      <c r="S2" s="3" t="s">
        <v>10</v>
      </c>
      <c r="T2" s="3" t="s">
        <v>10</v>
      </c>
      <c r="U2" s="3" t="s">
        <v>10</v>
      </c>
      <c r="V2" s="3" t="s">
        <v>10</v>
      </c>
      <c r="W2" s="3" t="s">
        <v>10</v>
      </c>
      <c r="X2" s="3" t="s">
        <v>10</v>
      </c>
      <c r="Z2" s="3" t="s">
        <v>11</v>
      </c>
      <c r="AA2" s="3" t="s">
        <v>11</v>
      </c>
      <c r="AB2" s="3" t="s">
        <v>12</v>
      </c>
      <c r="AC2" s="3" t="s">
        <v>6</v>
      </c>
      <c r="AD2" s="3" t="s">
        <v>6</v>
      </c>
      <c r="AE2" s="3" t="s">
        <v>13</v>
      </c>
      <c r="AF2" s="3" t="s">
        <v>13</v>
      </c>
      <c r="AG2" s="3" t="s">
        <v>13</v>
      </c>
    </row>
    <row r="3" spans="1:33" ht="14.5" x14ac:dyDescent="0.35">
      <c r="A3" s="3"/>
      <c r="B3" s="3"/>
      <c r="C3" s="3" t="s">
        <v>16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  <c r="P3" s="3" t="s">
        <v>29</v>
      </c>
      <c r="Q3" s="3" t="s">
        <v>30</v>
      </c>
      <c r="R3" s="3" t="s">
        <v>31</v>
      </c>
      <c r="S3" s="3" t="s">
        <v>32</v>
      </c>
      <c r="T3" s="3" t="s">
        <v>33</v>
      </c>
      <c r="U3" s="3" t="s">
        <v>34</v>
      </c>
      <c r="V3" s="3" t="s">
        <v>35</v>
      </c>
      <c r="W3" s="3" t="s">
        <v>5</v>
      </c>
      <c r="X3" s="3" t="s">
        <v>36</v>
      </c>
      <c r="Z3" s="3" t="s">
        <v>37</v>
      </c>
      <c r="AA3" s="3" t="s">
        <v>38</v>
      </c>
      <c r="AB3" s="3" t="s">
        <v>39</v>
      </c>
      <c r="AC3" s="3" t="s">
        <v>40</v>
      </c>
      <c r="AD3" s="3" t="s">
        <v>41</v>
      </c>
      <c r="AE3" s="3" t="s">
        <v>42</v>
      </c>
      <c r="AF3" s="3" t="s">
        <v>43</v>
      </c>
      <c r="AG3" s="3" t="s">
        <v>44</v>
      </c>
    </row>
    <row r="4" spans="1:33" ht="14.5" x14ac:dyDescent="0.35">
      <c r="A4" s="5">
        <f t="shared" ref="A4:A61" si="0">YEAR(C4)</f>
        <v>2021</v>
      </c>
      <c r="B4" s="5" t="str">
        <f t="shared" ref="B4:B61" si="1">"Q"&amp;(QUOTIENT(MONTH(C4),3.1)+1)</f>
        <v>Q3</v>
      </c>
      <c r="C4" s="10">
        <v>44409</v>
      </c>
      <c r="D4" s="11"/>
      <c r="E4" s="11"/>
      <c r="F4" s="11">
        <v>300</v>
      </c>
      <c r="G4" s="11"/>
      <c r="H4" s="11"/>
      <c r="I4" s="11"/>
      <c r="J4" s="11">
        <f t="shared" ref="J4:J61" si="2">K4+L4</f>
        <v>8645.240341349785</v>
      </c>
      <c r="K4" s="11">
        <f>Financiamento!D13</f>
        <v>3455.7914613497851</v>
      </c>
      <c r="L4" s="11">
        <f>Financiamento!C13</f>
        <v>5189.4488799999999</v>
      </c>
      <c r="M4" s="11">
        <f>Financiamento!$B$3</f>
        <v>331380.09000000003</v>
      </c>
      <c r="N4" s="11">
        <f>M4</f>
        <v>331380.09000000003</v>
      </c>
      <c r="P4" s="11">
        <f t="shared" ref="P4:P61" si="3">D4</f>
        <v>0</v>
      </c>
      <c r="Q4" s="11">
        <f t="shared" ref="Q4:Q51" si="4">-SUM(E4:H4)</f>
        <v>-300</v>
      </c>
      <c r="R4" s="11">
        <f t="shared" ref="R4:R61" si="5">SUM(P4:Q4)</f>
        <v>-300</v>
      </c>
      <c r="S4" s="11"/>
      <c r="T4" s="11">
        <f t="shared" ref="T4:T61" si="6">SUM(R4:S4)</f>
        <v>-300</v>
      </c>
      <c r="U4" s="11">
        <f t="shared" ref="U4:U51" si="7">-L4</f>
        <v>-5189.4488799999999</v>
      </c>
      <c r="V4" s="11">
        <f t="shared" ref="V4:V61" si="8">SUM(T4:U4)</f>
        <v>-5489.4488799999999</v>
      </c>
      <c r="W4" s="11">
        <f t="shared" ref="W4:W51" si="9">-I4</f>
        <v>0</v>
      </c>
      <c r="X4" s="11">
        <f t="shared" ref="X4:X61" si="10">SUM(V4:W4)</f>
        <v>-5489.4488799999999</v>
      </c>
      <c r="Z4" s="11">
        <f t="shared" ref="Z4:Z61" si="11">R4</f>
        <v>-300</v>
      </c>
      <c r="AA4" s="11">
        <f t="shared" ref="AA4:AA61" si="12">W4</f>
        <v>0</v>
      </c>
      <c r="AB4" s="11">
        <f t="shared" ref="AB4:AB51" si="13">-N4</f>
        <v>-331380.09000000003</v>
      </c>
      <c r="AC4" s="11">
        <f t="shared" ref="AC4:AC61" si="14">M4</f>
        <v>331380.09000000003</v>
      </c>
      <c r="AD4" s="11">
        <f t="shared" ref="AD4:AD51" si="15">-J4</f>
        <v>-8645.240341349785</v>
      </c>
      <c r="AE4" s="11">
        <f t="shared" ref="AE4:AE61" si="16">SUM(Z4:AD4)</f>
        <v>-8945.240341349785</v>
      </c>
      <c r="AF4" s="11">
        <v>0</v>
      </c>
      <c r="AG4" s="11">
        <f t="shared" ref="AG4:AG61" si="17">AF4+AE4</f>
        <v>-8945.240341349785</v>
      </c>
    </row>
    <row r="5" spans="1:33" ht="14.5" x14ac:dyDescent="0.35">
      <c r="A5" s="5">
        <f t="shared" si="0"/>
        <v>2021</v>
      </c>
      <c r="B5" s="5" t="str">
        <f t="shared" si="1"/>
        <v>Q3</v>
      </c>
      <c r="C5" s="10">
        <v>44440</v>
      </c>
      <c r="D5" s="11"/>
      <c r="E5" s="11"/>
      <c r="F5" s="11">
        <v>300</v>
      </c>
      <c r="G5" s="11"/>
      <c r="H5" s="11"/>
      <c r="I5" s="11"/>
      <c r="J5" s="11">
        <f t="shared" si="2"/>
        <v>8645.240341349785</v>
      </c>
      <c r="K5" s="11">
        <f>Financiamento!D14</f>
        <v>3509.0106498545711</v>
      </c>
      <c r="L5" s="11">
        <f>Financiamento!C14</f>
        <v>5136.229691495214</v>
      </c>
      <c r="M5" s="11"/>
      <c r="N5" s="11"/>
      <c r="P5" s="11">
        <f t="shared" si="3"/>
        <v>0</v>
      </c>
      <c r="Q5" s="11">
        <f t="shared" si="4"/>
        <v>-300</v>
      </c>
      <c r="R5" s="11">
        <f t="shared" si="5"/>
        <v>-300</v>
      </c>
      <c r="S5" s="11"/>
      <c r="T5" s="11">
        <f t="shared" si="6"/>
        <v>-300</v>
      </c>
      <c r="U5" s="11">
        <f t="shared" si="7"/>
        <v>-5136.229691495214</v>
      </c>
      <c r="V5" s="11">
        <f t="shared" si="8"/>
        <v>-5436.229691495214</v>
      </c>
      <c r="W5" s="11">
        <f t="shared" si="9"/>
        <v>0</v>
      </c>
      <c r="X5" s="11">
        <f t="shared" si="10"/>
        <v>-5436.229691495214</v>
      </c>
      <c r="Z5" s="11">
        <f t="shared" si="11"/>
        <v>-300</v>
      </c>
      <c r="AA5" s="11">
        <f t="shared" si="12"/>
        <v>0</v>
      </c>
      <c r="AB5" s="11">
        <f t="shared" si="13"/>
        <v>0</v>
      </c>
      <c r="AC5" s="11">
        <f t="shared" si="14"/>
        <v>0</v>
      </c>
      <c r="AD5" s="11">
        <f t="shared" si="15"/>
        <v>-8645.240341349785</v>
      </c>
      <c r="AE5" s="11">
        <f t="shared" si="16"/>
        <v>-8945.240341349785</v>
      </c>
      <c r="AF5" s="11">
        <f t="shared" ref="AF5:AF61" si="18">AG4</f>
        <v>-8945.240341349785</v>
      </c>
      <c r="AG5" s="11">
        <f t="shared" si="17"/>
        <v>-17890.48068269957</v>
      </c>
    </row>
    <row r="6" spans="1:33" ht="14.5" x14ac:dyDescent="0.35">
      <c r="A6" s="5">
        <f t="shared" si="0"/>
        <v>2021</v>
      </c>
      <c r="B6" s="5" t="str">
        <f t="shared" si="1"/>
        <v>Q4</v>
      </c>
      <c r="C6" s="10">
        <v>44470</v>
      </c>
      <c r="D6" s="11"/>
      <c r="E6" s="11"/>
      <c r="F6" s="11">
        <v>300</v>
      </c>
      <c r="G6" s="11"/>
      <c r="H6" s="11"/>
      <c r="I6" s="11"/>
      <c r="J6" s="11">
        <f t="shared" si="2"/>
        <v>8645.240341349785</v>
      </c>
      <c r="K6" s="11">
        <f>Financiamento!D15</f>
        <v>3563.0494138623308</v>
      </c>
      <c r="L6" s="11">
        <f>Financiamento!C15</f>
        <v>5082.1909274874542</v>
      </c>
      <c r="M6" s="11"/>
      <c r="N6" s="11"/>
      <c r="P6" s="11">
        <f t="shared" si="3"/>
        <v>0</v>
      </c>
      <c r="Q6" s="11">
        <f t="shared" si="4"/>
        <v>-300</v>
      </c>
      <c r="R6" s="11">
        <f t="shared" si="5"/>
        <v>-300</v>
      </c>
      <c r="S6" s="11"/>
      <c r="T6" s="11">
        <f t="shared" si="6"/>
        <v>-300</v>
      </c>
      <c r="U6" s="11">
        <f t="shared" si="7"/>
        <v>-5082.1909274874542</v>
      </c>
      <c r="V6" s="11">
        <f t="shared" si="8"/>
        <v>-5382.1909274874542</v>
      </c>
      <c r="W6" s="11">
        <f t="shared" si="9"/>
        <v>0</v>
      </c>
      <c r="X6" s="11">
        <f t="shared" si="10"/>
        <v>-5382.1909274874542</v>
      </c>
      <c r="Z6" s="11">
        <f t="shared" si="11"/>
        <v>-300</v>
      </c>
      <c r="AA6" s="11">
        <f t="shared" si="12"/>
        <v>0</v>
      </c>
      <c r="AB6" s="11">
        <f t="shared" si="13"/>
        <v>0</v>
      </c>
      <c r="AC6" s="11">
        <f t="shared" si="14"/>
        <v>0</v>
      </c>
      <c r="AD6" s="11">
        <f t="shared" si="15"/>
        <v>-8645.240341349785</v>
      </c>
      <c r="AE6" s="11">
        <f t="shared" si="16"/>
        <v>-8945.240341349785</v>
      </c>
      <c r="AF6" s="11">
        <f t="shared" si="18"/>
        <v>-17890.48068269957</v>
      </c>
      <c r="AG6" s="11">
        <f t="shared" si="17"/>
        <v>-26835.721024049355</v>
      </c>
    </row>
    <row r="7" spans="1:33" ht="14.5" x14ac:dyDescent="0.35">
      <c r="A7" s="5">
        <f t="shared" si="0"/>
        <v>2021</v>
      </c>
      <c r="B7" s="5" t="str">
        <f t="shared" si="1"/>
        <v>Q4</v>
      </c>
      <c r="C7" s="10">
        <v>44501</v>
      </c>
      <c r="D7" s="11"/>
      <c r="E7" s="11"/>
      <c r="F7" s="11">
        <v>300</v>
      </c>
      <c r="G7" s="11"/>
      <c r="H7" s="11"/>
      <c r="I7" s="11"/>
      <c r="J7" s="11">
        <f t="shared" si="2"/>
        <v>8645.240341349785</v>
      </c>
      <c r="K7" s="11">
        <f>Financiamento!D16</f>
        <v>3617.9203748358113</v>
      </c>
      <c r="L7" s="11">
        <f>Financiamento!C16</f>
        <v>5027.3199665139737</v>
      </c>
      <c r="M7" s="11"/>
      <c r="N7" s="11"/>
      <c r="P7" s="11">
        <f t="shared" si="3"/>
        <v>0</v>
      </c>
      <c r="Q7" s="11">
        <f t="shared" si="4"/>
        <v>-300</v>
      </c>
      <c r="R7" s="11">
        <f t="shared" si="5"/>
        <v>-300</v>
      </c>
      <c r="S7" s="11"/>
      <c r="T7" s="11">
        <f t="shared" si="6"/>
        <v>-300</v>
      </c>
      <c r="U7" s="11">
        <f t="shared" si="7"/>
        <v>-5027.3199665139737</v>
      </c>
      <c r="V7" s="11">
        <f t="shared" si="8"/>
        <v>-5327.3199665139737</v>
      </c>
      <c r="W7" s="11">
        <f t="shared" si="9"/>
        <v>0</v>
      </c>
      <c r="X7" s="11">
        <f t="shared" si="10"/>
        <v>-5327.3199665139737</v>
      </c>
      <c r="Z7" s="11">
        <f t="shared" si="11"/>
        <v>-300</v>
      </c>
      <c r="AA7" s="11">
        <f t="shared" si="12"/>
        <v>0</v>
      </c>
      <c r="AB7" s="11">
        <f t="shared" si="13"/>
        <v>0</v>
      </c>
      <c r="AC7" s="11">
        <f t="shared" si="14"/>
        <v>0</v>
      </c>
      <c r="AD7" s="11">
        <f t="shared" si="15"/>
        <v>-8645.240341349785</v>
      </c>
      <c r="AE7" s="11">
        <f t="shared" si="16"/>
        <v>-8945.240341349785</v>
      </c>
      <c r="AF7" s="11">
        <f t="shared" si="18"/>
        <v>-26835.721024049355</v>
      </c>
      <c r="AG7" s="11">
        <f t="shared" si="17"/>
        <v>-35780.96136539914</v>
      </c>
    </row>
    <row r="8" spans="1:33" ht="14.5" x14ac:dyDescent="0.35">
      <c r="A8" s="5">
        <f t="shared" si="0"/>
        <v>2021</v>
      </c>
      <c r="B8" s="5" t="str">
        <f t="shared" si="1"/>
        <v>Q4</v>
      </c>
      <c r="C8" s="10">
        <v>44531</v>
      </c>
      <c r="D8" s="11"/>
      <c r="E8" s="11"/>
      <c r="F8" s="11">
        <v>300</v>
      </c>
      <c r="G8" s="11"/>
      <c r="H8" s="11"/>
      <c r="I8" s="11"/>
      <c r="J8" s="11">
        <f t="shared" si="2"/>
        <v>8645.240341349785</v>
      </c>
      <c r="K8" s="11">
        <f>Financiamento!D17</f>
        <v>3673.6363486082819</v>
      </c>
      <c r="L8" s="11">
        <f>Financiamento!C17</f>
        <v>4971.6039927415031</v>
      </c>
      <c r="M8" s="11"/>
      <c r="N8" s="11"/>
      <c r="P8" s="11">
        <f t="shared" si="3"/>
        <v>0</v>
      </c>
      <c r="Q8" s="11">
        <f t="shared" si="4"/>
        <v>-300</v>
      </c>
      <c r="R8" s="11">
        <f t="shared" si="5"/>
        <v>-300</v>
      </c>
      <c r="S8" s="11"/>
      <c r="T8" s="11">
        <f t="shared" si="6"/>
        <v>-300</v>
      </c>
      <c r="U8" s="11">
        <f t="shared" si="7"/>
        <v>-4971.6039927415031</v>
      </c>
      <c r="V8" s="11">
        <f t="shared" si="8"/>
        <v>-5271.6039927415031</v>
      </c>
      <c r="W8" s="11">
        <f t="shared" si="9"/>
        <v>0</v>
      </c>
      <c r="X8" s="11">
        <f t="shared" si="10"/>
        <v>-5271.6039927415031</v>
      </c>
      <c r="Z8" s="11">
        <f t="shared" si="11"/>
        <v>-300</v>
      </c>
      <c r="AA8" s="11">
        <f t="shared" si="12"/>
        <v>0</v>
      </c>
      <c r="AB8" s="11">
        <f t="shared" si="13"/>
        <v>0</v>
      </c>
      <c r="AC8" s="11">
        <f t="shared" si="14"/>
        <v>0</v>
      </c>
      <c r="AD8" s="11">
        <f t="shared" si="15"/>
        <v>-8645.240341349785</v>
      </c>
      <c r="AE8" s="11">
        <f t="shared" si="16"/>
        <v>-8945.240341349785</v>
      </c>
      <c r="AF8" s="11">
        <f t="shared" si="18"/>
        <v>-35780.96136539914</v>
      </c>
      <c r="AG8" s="11">
        <f t="shared" si="17"/>
        <v>-44726.201706748921</v>
      </c>
    </row>
    <row r="9" spans="1:33" ht="14.5" x14ac:dyDescent="0.35">
      <c r="A9" s="5">
        <f t="shared" si="0"/>
        <v>2022</v>
      </c>
      <c r="B9" s="5" t="str">
        <f t="shared" si="1"/>
        <v>Q1</v>
      </c>
      <c r="C9" s="10">
        <v>44562</v>
      </c>
      <c r="D9" s="11"/>
      <c r="E9" s="11"/>
      <c r="F9" s="11">
        <v>300</v>
      </c>
      <c r="G9" s="11"/>
      <c r="H9" s="11"/>
      <c r="I9" s="11"/>
      <c r="J9" s="11">
        <f t="shared" si="2"/>
        <v>8645.240341349785</v>
      </c>
      <c r="K9" s="11">
        <f>Financiamento!D18</f>
        <v>3730.2103483768497</v>
      </c>
      <c r="L9" s="11">
        <f>Financiamento!C18</f>
        <v>4915.0299929729354</v>
      </c>
      <c r="M9" s="11"/>
      <c r="N9" s="11"/>
      <c r="P9" s="11">
        <f t="shared" si="3"/>
        <v>0</v>
      </c>
      <c r="Q9" s="11">
        <f t="shared" si="4"/>
        <v>-300</v>
      </c>
      <c r="R9" s="11">
        <f t="shared" si="5"/>
        <v>-300</v>
      </c>
      <c r="S9" s="11"/>
      <c r="T9" s="11">
        <f t="shared" si="6"/>
        <v>-300</v>
      </c>
      <c r="U9" s="11">
        <f t="shared" si="7"/>
        <v>-4915.0299929729354</v>
      </c>
      <c r="V9" s="11">
        <f t="shared" si="8"/>
        <v>-5215.0299929729354</v>
      </c>
      <c r="W9" s="11">
        <f t="shared" si="9"/>
        <v>0</v>
      </c>
      <c r="X9" s="11">
        <f t="shared" si="10"/>
        <v>-5215.0299929729354</v>
      </c>
      <c r="Z9" s="11">
        <f t="shared" si="11"/>
        <v>-300</v>
      </c>
      <c r="AA9" s="11">
        <f t="shared" si="12"/>
        <v>0</v>
      </c>
      <c r="AB9" s="11">
        <f t="shared" si="13"/>
        <v>0</v>
      </c>
      <c r="AC9" s="11">
        <f t="shared" si="14"/>
        <v>0</v>
      </c>
      <c r="AD9" s="11">
        <f t="shared" si="15"/>
        <v>-8645.240341349785</v>
      </c>
      <c r="AE9" s="11">
        <f t="shared" si="16"/>
        <v>-8945.240341349785</v>
      </c>
      <c r="AF9" s="11">
        <f t="shared" si="18"/>
        <v>-44726.201706748921</v>
      </c>
      <c r="AG9" s="11">
        <f t="shared" si="17"/>
        <v>-53671.442048098703</v>
      </c>
    </row>
    <row r="10" spans="1:33" ht="14.5" x14ac:dyDescent="0.35">
      <c r="A10" s="5">
        <f t="shared" si="0"/>
        <v>2022</v>
      </c>
      <c r="B10" s="5" t="str">
        <f t="shared" si="1"/>
        <v>Q1</v>
      </c>
      <c r="C10" s="10">
        <v>44593</v>
      </c>
      <c r="D10" s="11"/>
      <c r="E10" s="11"/>
      <c r="F10" s="11">
        <v>300</v>
      </c>
      <c r="G10" s="11"/>
      <c r="H10" s="11"/>
      <c r="I10" s="11"/>
      <c r="J10" s="11">
        <f t="shared" si="2"/>
        <v>8645.240341349785</v>
      </c>
      <c r="K10" s="11">
        <f>Financiamento!D19</f>
        <v>3787.6555877418532</v>
      </c>
      <c r="L10" s="11">
        <f>Financiamento!C19</f>
        <v>4857.5847536079318</v>
      </c>
      <c r="M10" s="11"/>
      <c r="N10" s="11"/>
      <c r="P10" s="11">
        <f t="shared" si="3"/>
        <v>0</v>
      </c>
      <c r="Q10" s="11">
        <f t="shared" si="4"/>
        <v>-300</v>
      </c>
      <c r="R10" s="11">
        <f t="shared" si="5"/>
        <v>-300</v>
      </c>
      <c r="S10" s="11"/>
      <c r="T10" s="11">
        <f t="shared" si="6"/>
        <v>-300</v>
      </c>
      <c r="U10" s="11">
        <f t="shared" si="7"/>
        <v>-4857.5847536079318</v>
      </c>
      <c r="V10" s="11">
        <f t="shared" si="8"/>
        <v>-5157.5847536079318</v>
      </c>
      <c r="W10" s="11">
        <f t="shared" si="9"/>
        <v>0</v>
      </c>
      <c r="X10" s="11">
        <f t="shared" si="10"/>
        <v>-5157.5847536079318</v>
      </c>
      <c r="Z10" s="11">
        <f t="shared" si="11"/>
        <v>-300</v>
      </c>
      <c r="AA10" s="11">
        <f t="shared" si="12"/>
        <v>0</v>
      </c>
      <c r="AB10" s="11">
        <f t="shared" si="13"/>
        <v>0</v>
      </c>
      <c r="AC10" s="11">
        <f t="shared" si="14"/>
        <v>0</v>
      </c>
      <c r="AD10" s="11">
        <f t="shared" si="15"/>
        <v>-8645.240341349785</v>
      </c>
      <c r="AE10" s="11">
        <f t="shared" si="16"/>
        <v>-8945.240341349785</v>
      </c>
      <c r="AF10" s="11">
        <f t="shared" si="18"/>
        <v>-53671.442048098703</v>
      </c>
      <c r="AG10" s="11">
        <f t="shared" si="17"/>
        <v>-62616.682389448484</v>
      </c>
    </row>
    <row r="11" spans="1:33" ht="14.5" x14ac:dyDescent="0.35">
      <c r="A11" s="5">
        <f t="shared" si="0"/>
        <v>2022</v>
      </c>
      <c r="B11" s="5" t="str">
        <f t="shared" si="1"/>
        <v>Q1</v>
      </c>
      <c r="C11" s="10">
        <v>44621</v>
      </c>
      <c r="D11" s="11"/>
      <c r="E11" s="11"/>
      <c r="F11" s="11">
        <v>300</v>
      </c>
      <c r="G11" s="11"/>
      <c r="H11" s="11"/>
      <c r="I11" s="11"/>
      <c r="J11" s="11">
        <f t="shared" si="2"/>
        <v>8645.240341349785</v>
      </c>
      <c r="K11" s="11">
        <f>Financiamento!D20</f>
        <v>3845.9854837930779</v>
      </c>
      <c r="L11" s="11">
        <f>Financiamento!C20</f>
        <v>4799.2548575567071</v>
      </c>
      <c r="M11" s="11"/>
      <c r="N11" s="11"/>
      <c r="P11" s="11">
        <f t="shared" si="3"/>
        <v>0</v>
      </c>
      <c r="Q11" s="11">
        <f t="shared" si="4"/>
        <v>-300</v>
      </c>
      <c r="R11" s="11">
        <f t="shared" si="5"/>
        <v>-300</v>
      </c>
      <c r="S11" s="11"/>
      <c r="T11" s="11">
        <f t="shared" si="6"/>
        <v>-300</v>
      </c>
      <c r="U11" s="11">
        <f t="shared" si="7"/>
        <v>-4799.2548575567071</v>
      </c>
      <c r="V11" s="11">
        <f t="shared" si="8"/>
        <v>-5099.2548575567071</v>
      </c>
      <c r="W11" s="11">
        <f t="shared" si="9"/>
        <v>0</v>
      </c>
      <c r="X11" s="11">
        <f t="shared" si="10"/>
        <v>-5099.2548575567071</v>
      </c>
      <c r="Z11" s="11">
        <f t="shared" si="11"/>
        <v>-300</v>
      </c>
      <c r="AA11" s="11">
        <f t="shared" si="12"/>
        <v>0</v>
      </c>
      <c r="AB11" s="11">
        <f t="shared" si="13"/>
        <v>0</v>
      </c>
      <c r="AC11" s="11">
        <f t="shared" si="14"/>
        <v>0</v>
      </c>
      <c r="AD11" s="11">
        <f t="shared" si="15"/>
        <v>-8645.240341349785</v>
      </c>
      <c r="AE11" s="11">
        <f t="shared" si="16"/>
        <v>-8945.240341349785</v>
      </c>
      <c r="AF11" s="11">
        <f t="shared" si="18"/>
        <v>-62616.682389448484</v>
      </c>
      <c r="AG11" s="11">
        <f t="shared" si="17"/>
        <v>-71561.922730798266</v>
      </c>
    </row>
    <row r="12" spans="1:33" ht="14.5" x14ac:dyDescent="0.35">
      <c r="A12" s="5">
        <f t="shared" si="0"/>
        <v>2022</v>
      </c>
      <c r="B12" s="5" t="str">
        <f t="shared" si="1"/>
        <v>Q2</v>
      </c>
      <c r="C12" s="10">
        <v>44652</v>
      </c>
      <c r="D12" s="11"/>
      <c r="E12" s="11"/>
      <c r="F12" s="11">
        <v>300</v>
      </c>
      <c r="G12" s="11"/>
      <c r="H12" s="11"/>
      <c r="I12" s="11"/>
      <c r="J12" s="11">
        <f t="shared" si="2"/>
        <v>8645.240341349785</v>
      </c>
      <c r="K12" s="11">
        <f>Financiamento!D21</f>
        <v>3905.2136602434912</v>
      </c>
      <c r="L12" s="11">
        <f>Financiamento!C21</f>
        <v>4740.0266811062938</v>
      </c>
      <c r="M12" s="11"/>
      <c r="N12" s="11"/>
      <c r="P12" s="11">
        <f t="shared" si="3"/>
        <v>0</v>
      </c>
      <c r="Q12" s="11">
        <f t="shared" si="4"/>
        <v>-300</v>
      </c>
      <c r="R12" s="11">
        <f t="shared" si="5"/>
        <v>-300</v>
      </c>
      <c r="S12" s="11"/>
      <c r="T12" s="11">
        <f t="shared" si="6"/>
        <v>-300</v>
      </c>
      <c r="U12" s="11">
        <f t="shared" si="7"/>
        <v>-4740.0266811062938</v>
      </c>
      <c r="V12" s="11">
        <f t="shared" si="8"/>
        <v>-5040.0266811062938</v>
      </c>
      <c r="W12" s="11">
        <f t="shared" si="9"/>
        <v>0</v>
      </c>
      <c r="X12" s="11">
        <f t="shared" si="10"/>
        <v>-5040.0266811062938</v>
      </c>
      <c r="Z12" s="11">
        <f t="shared" si="11"/>
        <v>-300</v>
      </c>
      <c r="AA12" s="11">
        <f t="shared" si="12"/>
        <v>0</v>
      </c>
      <c r="AB12" s="11">
        <f t="shared" si="13"/>
        <v>0</v>
      </c>
      <c r="AC12" s="11">
        <f t="shared" si="14"/>
        <v>0</v>
      </c>
      <c r="AD12" s="11">
        <f t="shared" si="15"/>
        <v>-8645.240341349785</v>
      </c>
      <c r="AE12" s="11">
        <f t="shared" si="16"/>
        <v>-8945.240341349785</v>
      </c>
      <c r="AF12" s="11">
        <f t="shared" si="18"/>
        <v>-71561.922730798266</v>
      </c>
      <c r="AG12" s="11">
        <f t="shared" si="17"/>
        <v>-80507.163072148047</v>
      </c>
    </row>
    <row r="13" spans="1:33" ht="14.5" x14ac:dyDescent="0.35">
      <c r="A13" s="5">
        <f t="shared" si="0"/>
        <v>2022</v>
      </c>
      <c r="B13" s="5" t="str">
        <f t="shared" si="1"/>
        <v>Q2</v>
      </c>
      <c r="C13" s="10">
        <v>44682</v>
      </c>
      <c r="D13" s="11"/>
      <c r="E13" s="11"/>
      <c r="F13" s="11">
        <v>300</v>
      </c>
      <c r="G13" s="11"/>
      <c r="H13" s="11"/>
      <c r="I13" s="11"/>
      <c r="J13" s="11">
        <f t="shared" si="2"/>
        <v>8645.240341349785</v>
      </c>
      <c r="K13" s="11">
        <f>Financiamento!D22</f>
        <v>3965.3539506112411</v>
      </c>
      <c r="L13" s="11">
        <f>Financiamento!C22</f>
        <v>4679.8863907385439</v>
      </c>
      <c r="M13" s="11"/>
      <c r="N13" s="11"/>
      <c r="P13" s="11">
        <f t="shared" si="3"/>
        <v>0</v>
      </c>
      <c r="Q13" s="11">
        <f t="shared" si="4"/>
        <v>-300</v>
      </c>
      <c r="R13" s="11">
        <f t="shared" si="5"/>
        <v>-300</v>
      </c>
      <c r="S13" s="11"/>
      <c r="T13" s="11">
        <f t="shared" si="6"/>
        <v>-300</v>
      </c>
      <c r="U13" s="11">
        <f t="shared" si="7"/>
        <v>-4679.8863907385439</v>
      </c>
      <c r="V13" s="11">
        <f t="shared" si="8"/>
        <v>-4979.8863907385439</v>
      </c>
      <c r="W13" s="11">
        <f t="shared" si="9"/>
        <v>0</v>
      </c>
      <c r="X13" s="11">
        <f t="shared" si="10"/>
        <v>-4979.8863907385439</v>
      </c>
      <c r="Z13" s="11">
        <f t="shared" si="11"/>
        <v>-300</v>
      </c>
      <c r="AA13" s="11">
        <f t="shared" si="12"/>
        <v>0</v>
      </c>
      <c r="AB13" s="11">
        <f t="shared" si="13"/>
        <v>0</v>
      </c>
      <c r="AC13" s="11">
        <f t="shared" si="14"/>
        <v>0</v>
      </c>
      <c r="AD13" s="11">
        <f t="shared" si="15"/>
        <v>-8645.240341349785</v>
      </c>
      <c r="AE13" s="11">
        <f t="shared" si="16"/>
        <v>-8945.240341349785</v>
      </c>
      <c r="AF13" s="11">
        <f t="shared" si="18"/>
        <v>-80507.163072148047</v>
      </c>
      <c r="AG13" s="11">
        <f t="shared" si="17"/>
        <v>-89452.403413497828</v>
      </c>
    </row>
    <row r="14" spans="1:33" ht="14.5" x14ac:dyDescent="0.35">
      <c r="A14" s="5">
        <f t="shared" si="0"/>
        <v>2022</v>
      </c>
      <c r="B14" s="5" t="str">
        <f t="shared" si="1"/>
        <v>Q2</v>
      </c>
      <c r="C14" s="10">
        <v>44713</v>
      </c>
      <c r="D14" s="11"/>
      <c r="E14" s="11"/>
      <c r="F14" s="11">
        <v>300</v>
      </c>
      <c r="G14" s="11"/>
      <c r="H14" s="11"/>
      <c r="I14" s="11"/>
      <c r="J14" s="11">
        <f t="shared" si="2"/>
        <v>8645.240341349785</v>
      </c>
      <c r="K14" s="11">
        <f>Financiamento!D23</f>
        <v>4026.4204014506549</v>
      </c>
      <c r="L14" s="11">
        <f>Financiamento!C23</f>
        <v>4618.8199398991301</v>
      </c>
      <c r="M14" s="11"/>
      <c r="N14" s="11"/>
      <c r="P14" s="11">
        <f t="shared" si="3"/>
        <v>0</v>
      </c>
      <c r="Q14" s="11">
        <f t="shared" si="4"/>
        <v>-300</v>
      </c>
      <c r="R14" s="11">
        <f t="shared" si="5"/>
        <v>-300</v>
      </c>
      <c r="S14" s="11"/>
      <c r="T14" s="11">
        <f t="shared" si="6"/>
        <v>-300</v>
      </c>
      <c r="U14" s="11">
        <f t="shared" si="7"/>
        <v>-4618.8199398991301</v>
      </c>
      <c r="V14" s="11">
        <f t="shared" si="8"/>
        <v>-4918.8199398991301</v>
      </c>
      <c r="W14" s="11">
        <f t="shared" si="9"/>
        <v>0</v>
      </c>
      <c r="X14" s="11">
        <f t="shared" si="10"/>
        <v>-4918.8199398991301</v>
      </c>
      <c r="Z14" s="11">
        <f t="shared" si="11"/>
        <v>-300</v>
      </c>
      <c r="AA14" s="11">
        <f t="shared" si="12"/>
        <v>0</v>
      </c>
      <c r="AB14" s="11">
        <f t="shared" si="13"/>
        <v>0</v>
      </c>
      <c r="AC14" s="11">
        <f t="shared" si="14"/>
        <v>0</v>
      </c>
      <c r="AD14" s="11">
        <f t="shared" si="15"/>
        <v>-8645.240341349785</v>
      </c>
      <c r="AE14" s="11">
        <f t="shared" si="16"/>
        <v>-8945.240341349785</v>
      </c>
      <c r="AF14" s="11">
        <f t="shared" si="18"/>
        <v>-89452.403413497828</v>
      </c>
      <c r="AG14" s="11">
        <f t="shared" si="17"/>
        <v>-98397.64375484761</v>
      </c>
    </row>
    <row r="15" spans="1:33" ht="14.5" x14ac:dyDescent="0.35">
      <c r="A15" s="5">
        <f t="shared" si="0"/>
        <v>2022</v>
      </c>
      <c r="B15" s="5" t="str">
        <f t="shared" si="1"/>
        <v>Q3</v>
      </c>
      <c r="C15" s="10">
        <v>44743</v>
      </c>
      <c r="D15" s="11"/>
      <c r="E15" s="11"/>
      <c r="F15" s="11">
        <v>300</v>
      </c>
      <c r="G15" s="11"/>
      <c r="H15" s="11"/>
      <c r="I15" s="11"/>
      <c r="J15" s="11">
        <f t="shared" si="2"/>
        <v>8645.240341349785</v>
      </c>
      <c r="K15" s="11">
        <f>Financiamento!D24</f>
        <v>4088.4272756329947</v>
      </c>
      <c r="L15" s="11">
        <f>Financiamento!C24</f>
        <v>4556.8130657167903</v>
      </c>
      <c r="M15" s="11"/>
      <c r="N15" s="11"/>
      <c r="P15" s="11">
        <f t="shared" si="3"/>
        <v>0</v>
      </c>
      <c r="Q15" s="11">
        <f t="shared" si="4"/>
        <v>-300</v>
      </c>
      <c r="R15" s="11">
        <f t="shared" si="5"/>
        <v>-300</v>
      </c>
      <c r="S15" s="11"/>
      <c r="T15" s="11">
        <f t="shared" si="6"/>
        <v>-300</v>
      </c>
      <c r="U15" s="11">
        <f t="shared" si="7"/>
        <v>-4556.8130657167903</v>
      </c>
      <c r="V15" s="11">
        <f t="shared" si="8"/>
        <v>-4856.8130657167903</v>
      </c>
      <c r="W15" s="11">
        <f t="shared" si="9"/>
        <v>0</v>
      </c>
      <c r="X15" s="11">
        <f t="shared" si="10"/>
        <v>-4856.8130657167903</v>
      </c>
      <c r="Z15" s="11">
        <f t="shared" si="11"/>
        <v>-300</v>
      </c>
      <c r="AA15" s="11">
        <f t="shared" si="12"/>
        <v>0</v>
      </c>
      <c r="AB15" s="11">
        <f t="shared" si="13"/>
        <v>0</v>
      </c>
      <c r="AC15" s="11">
        <f t="shared" si="14"/>
        <v>0</v>
      </c>
      <c r="AD15" s="11">
        <f t="shared" si="15"/>
        <v>-8645.240341349785</v>
      </c>
      <c r="AE15" s="11">
        <f t="shared" si="16"/>
        <v>-8945.240341349785</v>
      </c>
      <c r="AF15" s="11">
        <f t="shared" si="18"/>
        <v>-98397.64375484761</v>
      </c>
      <c r="AG15" s="11">
        <f t="shared" si="17"/>
        <v>-107342.88409619739</v>
      </c>
    </row>
    <row r="16" spans="1:33" ht="14.5" x14ac:dyDescent="0.35">
      <c r="A16" s="5">
        <f t="shared" si="0"/>
        <v>2022</v>
      </c>
      <c r="B16" s="5" t="str">
        <f t="shared" si="1"/>
        <v>Q3</v>
      </c>
      <c r="C16" s="10">
        <v>44774</v>
      </c>
      <c r="D16" s="11"/>
      <c r="E16" s="11"/>
      <c r="F16" s="11">
        <v>300</v>
      </c>
      <c r="G16" s="11"/>
      <c r="H16" s="11"/>
      <c r="I16" s="11"/>
      <c r="J16" s="11">
        <f t="shared" si="2"/>
        <v>8645.240341349785</v>
      </c>
      <c r="K16" s="11">
        <f>Financiamento!D25</f>
        <v>4151.3890556777424</v>
      </c>
      <c r="L16" s="11">
        <f>Financiamento!C25</f>
        <v>4493.8512856720426</v>
      </c>
      <c r="M16" s="11"/>
      <c r="N16" s="11"/>
      <c r="P16" s="11">
        <f t="shared" si="3"/>
        <v>0</v>
      </c>
      <c r="Q16" s="11">
        <f t="shared" si="4"/>
        <v>-300</v>
      </c>
      <c r="R16" s="11">
        <f t="shared" si="5"/>
        <v>-300</v>
      </c>
      <c r="S16" s="11"/>
      <c r="T16" s="11">
        <f t="shared" si="6"/>
        <v>-300</v>
      </c>
      <c r="U16" s="11">
        <f t="shared" si="7"/>
        <v>-4493.8512856720426</v>
      </c>
      <c r="V16" s="11">
        <f t="shared" si="8"/>
        <v>-4793.8512856720426</v>
      </c>
      <c r="W16" s="11">
        <f t="shared" si="9"/>
        <v>0</v>
      </c>
      <c r="X16" s="11">
        <f t="shared" si="10"/>
        <v>-4793.8512856720426</v>
      </c>
      <c r="Z16" s="11">
        <f t="shared" si="11"/>
        <v>-300</v>
      </c>
      <c r="AA16" s="11">
        <f t="shared" si="12"/>
        <v>0</v>
      </c>
      <c r="AB16" s="11">
        <f t="shared" si="13"/>
        <v>0</v>
      </c>
      <c r="AC16" s="11">
        <f t="shared" si="14"/>
        <v>0</v>
      </c>
      <c r="AD16" s="11">
        <f t="shared" si="15"/>
        <v>-8645.240341349785</v>
      </c>
      <c r="AE16" s="11">
        <f t="shared" si="16"/>
        <v>-8945.240341349785</v>
      </c>
      <c r="AF16" s="11">
        <f t="shared" si="18"/>
        <v>-107342.88409619739</v>
      </c>
      <c r="AG16" s="11">
        <f t="shared" si="17"/>
        <v>-116288.12443754717</v>
      </c>
    </row>
    <row r="17" spans="1:33" ht="14.5" x14ac:dyDescent="0.35">
      <c r="A17" s="5">
        <f t="shared" si="0"/>
        <v>2022</v>
      </c>
      <c r="B17" s="5" t="str">
        <f t="shared" si="1"/>
        <v>Q3</v>
      </c>
      <c r="C17" s="10">
        <v>44805</v>
      </c>
      <c r="D17" s="11"/>
      <c r="E17" s="11"/>
      <c r="F17" s="11">
        <v>300</v>
      </c>
      <c r="G17" s="11"/>
      <c r="H17" s="11"/>
      <c r="I17" s="11"/>
      <c r="J17" s="11">
        <f t="shared" si="2"/>
        <v>8645.240341349785</v>
      </c>
      <c r="K17" s="11">
        <f>Financiamento!D26</f>
        <v>4215.3204471351801</v>
      </c>
      <c r="L17" s="11">
        <f>Financiamento!C26</f>
        <v>4429.9198942146049</v>
      </c>
      <c r="M17" s="11"/>
      <c r="N17" s="11"/>
      <c r="P17" s="11">
        <f t="shared" si="3"/>
        <v>0</v>
      </c>
      <c r="Q17" s="11">
        <f t="shared" si="4"/>
        <v>-300</v>
      </c>
      <c r="R17" s="11">
        <f t="shared" si="5"/>
        <v>-300</v>
      </c>
      <c r="S17" s="11"/>
      <c r="T17" s="11">
        <f t="shared" si="6"/>
        <v>-300</v>
      </c>
      <c r="U17" s="11">
        <f t="shared" si="7"/>
        <v>-4429.9198942146049</v>
      </c>
      <c r="V17" s="11">
        <f t="shared" si="8"/>
        <v>-4729.9198942146049</v>
      </c>
      <c r="W17" s="11">
        <f t="shared" si="9"/>
        <v>0</v>
      </c>
      <c r="X17" s="11">
        <f t="shared" si="10"/>
        <v>-4729.9198942146049</v>
      </c>
      <c r="Z17" s="11">
        <f t="shared" si="11"/>
        <v>-300</v>
      </c>
      <c r="AA17" s="11">
        <f t="shared" si="12"/>
        <v>0</v>
      </c>
      <c r="AB17" s="11">
        <f t="shared" si="13"/>
        <v>0</v>
      </c>
      <c r="AC17" s="11">
        <f t="shared" si="14"/>
        <v>0</v>
      </c>
      <c r="AD17" s="11">
        <f t="shared" si="15"/>
        <v>-8645.240341349785</v>
      </c>
      <c r="AE17" s="11">
        <f t="shared" si="16"/>
        <v>-8945.240341349785</v>
      </c>
      <c r="AF17" s="11">
        <f t="shared" si="18"/>
        <v>-116288.12443754717</v>
      </c>
      <c r="AG17" s="11">
        <f t="shared" si="17"/>
        <v>-125233.36477889695</v>
      </c>
    </row>
    <row r="18" spans="1:33" ht="14.5" x14ac:dyDescent="0.35">
      <c r="A18" s="5">
        <f t="shared" si="0"/>
        <v>2022</v>
      </c>
      <c r="B18" s="5" t="str">
        <f t="shared" si="1"/>
        <v>Q4</v>
      </c>
      <c r="C18" s="10">
        <v>44835</v>
      </c>
      <c r="D18" s="11"/>
      <c r="E18" s="11"/>
      <c r="F18" s="11">
        <v>300</v>
      </c>
      <c r="G18" s="11"/>
      <c r="H18" s="11"/>
      <c r="I18" s="11"/>
      <c r="J18" s="11">
        <f t="shared" si="2"/>
        <v>8645.240341349785</v>
      </c>
      <c r="K18" s="11">
        <f>Financiamento!D27</f>
        <v>4280.2363820210621</v>
      </c>
      <c r="L18" s="11">
        <f>Financiamento!C27</f>
        <v>4365.0039593287229</v>
      </c>
      <c r="M18" s="11"/>
      <c r="N18" s="11"/>
      <c r="P18" s="11">
        <f t="shared" si="3"/>
        <v>0</v>
      </c>
      <c r="Q18" s="11">
        <f t="shared" si="4"/>
        <v>-300</v>
      </c>
      <c r="R18" s="11">
        <f t="shared" si="5"/>
        <v>-300</v>
      </c>
      <c r="S18" s="11"/>
      <c r="T18" s="11">
        <f t="shared" si="6"/>
        <v>-300</v>
      </c>
      <c r="U18" s="11">
        <f t="shared" si="7"/>
        <v>-4365.0039593287229</v>
      </c>
      <c r="V18" s="11">
        <f t="shared" si="8"/>
        <v>-4665.0039593287229</v>
      </c>
      <c r="W18" s="11">
        <f t="shared" si="9"/>
        <v>0</v>
      </c>
      <c r="X18" s="11">
        <f t="shared" si="10"/>
        <v>-4665.0039593287229</v>
      </c>
      <c r="Z18" s="11">
        <f t="shared" si="11"/>
        <v>-300</v>
      </c>
      <c r="AA18" s="11">
        <f t="shared" si="12"/>
        <v>0</v>
      </c>
      <c r="AB18" s="11">
        <f t="shared" si="13"/>
        <v>0</v>
      </c>
      <c r="AC18" s="11">
        <f t="shared" si="14"/>
        <v>0</v>
      </c>
      <c r="AD18" s="11">
        <f t="shared" si="15"/>
        <v>-8645.240341349785</v>
      </c>
      <c r="AE18" s="11">
        <f t="shared" si="16"/>
        <v>-8945.240341349785</v>
      </c>
      <c r="AF18" s="11">
        <f t="shared" si="18"/>
        <v>-125233.36477889695</v>
      </c>
      <c r="AG18" s="11">
        <f t="shared" si="17"/>
        <v>-134178.60512024674</v>
      </c>
    </row>
    <row r="19" spans="1:33" ht="14.5" x14ac:dyDescent="0.35">
      <c r="A19" s="5">
        <f t="shared" si="0"/>
        <v>2022</v>
      </c>
      <c r="B19" s="5" t="str">
        <f t="shared" si="1"/>
        <v>Q4</v>
      </c>
      <c r="C19" s="10">
        <v>44866</v>
      </c>
      <c r="D19" s="11"/>
      <c r="E19" s="11"/>
      <c r="F19" s="11">
        <v>300</v>
      </c>
      <c r="G19" s="11"/>
      <c r="H19" s="11"/>
      <c r="I19" s="11"/>
      <c r="J19" s="11">
        <f t="shared" si="2"/>
        <v>8645.240341349785</v>
      </c>
      <c r="K19" s="11">
        <f>Financiamento!D28</f>
        <v>4346.1520223041862</v>
      </c>
      <c r="L19" s="11">
        <f>Financiamento!C28</f>
        <v>4299.0883190455988</v>
      </c>
      <c r="M19" s="11"/>
      <c r="N19" s="11"/>
      <c r="P19" s="11">
        <f t="shared" si="3"/>
        <v>0</v>
      </c>
      <c r="Q19" s="11">
        <f t="shared" si="4"/>
        <v>-300</v>
      </c>
      <c r="R19" s="11">
        <f t="shared" si="5"/>
        <v>-300</v>
      </c>
      <c r="S19" s="11"/>
      <c r="T19" s="11">
        <f t="shared" si="6"/>
        <v>-300</v>
      </c>
      <c r="U19" s="11">
        <f t="shared" si="7"/>
        <v>-4299.0883190455988</v>
      </c>
      <c r="V19" s="11">
        <f t="shared" si="8"/>
        <v>-4599.0883190455988</v>
      </c>
      <c r="W19" s="11">
        <f t="shared" si="9"/>
        <v>0</v>
      </c>
      <c r="X19" s="11">
        <f t="shared" si="10"/>
        <v>-4599.0883190455988</v>
      </c>
      <c r="Z19" s="11">
        <f t="shared" si="11"/>
        <v>-300</v>
      </c>
      <c r="AA19" s="11">
        <f t="shared" si="12"/>
        <v>0</v>
      </c>
      <c r="AB19" s="11">
        <f t="shared" si="13"/>
        <v>0</v>
      </c>
      <c r="AC19" s="11">
        <f t="shared" si="14"/>
        <v>0</v>
      </c>
      <c r="AD19" s="11">
        <f t="shared" si="15"/>
        <v>-8645.240341349785</v>
      </c>
      <c r="AE19" s="11">
        <f t="shared" si="16"/>
        <v>-8945.240341349785</v>
      </c>
      <c r="AF19" s="11">
        <f t="shared" si="18"/>
        <v>-134178.60512024674</v>
      </c>
      <c r="AG19" s="11">
        <f t="shared" si="17"/>
        <v>-143123.84546159653</v>
      </c>
    </row>
    <row r="20" spans="1:33" ht="14.5" x14ac:dyDescent="0.35">
      <c r="A20" s="5">
        <f t="shared" si="0"/>
        <v>2022</v>
      </c>
      <c r="B20" s="5" t="str">
        <f t="shared" si="1"/>
        <v>Q4</v>
      </c>
      <c r="C20" s="10">
        <v>44896</v>
      </c>
      <c r="D20" s="11"/>
      <c r="E20" s="11"/>
      <c r="F20" s="11">
        <v>300</v>
      </c>
      <c r="G20" s="11"/>
      <c r="H20" s="11"/>
      <c r="I20" s="11"/>
      <c r="J20" s="11">
        <f t="shared" si="2"/>
        <v>8645.240341349785</v>
      </c>
      <c r="K20" s="11">
        <f>Financiamento!D29</f>
        <v>4413.08276344767</v>
      </c>
      <c r="L20" s="11">
        <f>Financiamento!C29</f>
        <v>4232.157577902115</v>
      </c>
      <c r="M20" s="11"/>
      <c r="N20" s="11"/>
      <c r="P20" s="11">
        <f t="shared" si="3"/>
        <v>0</v>
      </c>
      <c r="Q20" s="11">
        <f t="shared" si="4"/>
        <v>-300</v>
      </c>
      <c r="R20" s="11">
        <f t="shared" si="5"/>
        <v>-300</v>
      </c>
      <c r="S20" s="11"/>
      <c r="T20" s="11">
        <f t="shared" si="6"/>
        <v>-300</v>
      </c>
      <c r="U20" s="11">
        <f t="shared" si="7"/>
        <v>-4232.157577902115</v>
      </c>
      <c r="V20" s="11">
        <f t="shared" si="8"/>
        <v>-4532.157577902115</v>
      </c>
      <c r="W20" s="11">
        <f t="shared" si="9"/>
        <v>0</v>
      </c>
      <c r="X20" s="11">
        <f t="shared" si="10"/>
        <v>-4532.157577902115</v>
      </c>
      <c r="Z20" s="11">
        <f t="shared" si="11"/>
        <v>-300</v>
      </c>
      <c r="AA20" s="11">
        <f t="shared" si="12"/>
        <v>0</v>
      </c>
      <c r="AB20" s="11">
        <f t="shared" si="13"/>
        <v>0</v>
      </c>
      <c r="AC20" s="11">
        <f t="shared" si="14"/>
        <v>0</v>
      </c>
      <c r="AD20" s="11">
        <f t="shared" si="15"/>
        <v>-8645.240341349785</v>
      </c>
      <c r="AE20" s="11">
        <f t="shared" si="16"/>
        <v>-8945.240341349785</v>
      </c>
      <c r="AF20" s="11">
        <f t="shared" si="18"/>
        <v>-143123.84546159653</v>
      </c>
      <c r="AG20" s="11">
        <f t="shared" si="17"/>
        <v>-152069.08580294633</v>
      </c>
    </row>
    <row r="21" spans="1:33" ht="15.75" customHeight="1" x14ac:dyDescent="0.35">
      <c r="A21" s="5">
        <f t="shared" si="0"/>
        <v>2023</v>
      </c>
      <c r="B21" s="5" t="str">
        <f t="shared" si="1"/>
        <v>Q1</v>
      </c>
      <c r="C21" s="10">
        <v>44927</v>
      </c>
      <c r="D21" s="11"/>
      <c r="E21" s="11"/>
      <c r="F21" s="11">
        <v>300</v>
      </c>
      <c r="G21" s="11"/>
      <c r="H21" s="11"/>
      <c r="I21" s="11"/>
      <c r="J21" s="11">
        <f t="shared" si="2"/>
        <v>8645.240341349785</v>
      </c>
      <c r="K21" s="11">
        <f>Financiamento!D30</f>
        <v>4481.0442380047643</v>
      </c>
      <c r="L21" s="11">
        <f>Financiamento!C30</f>
        <v>4164.1961033450207</v>
      </c>
      <c r="M21" s="11"/>
      <c r="N21" s="11"/>
      <c r="P21" s="11">
        <f t="shared" si="3"/>
        <v>0</v>
      </c>
      <c r="Q21" s="11">
        <f t="shared" si="4"/>
        <v>-300</v>
      </c>
      <c r="R21" s="11">
        <f t="shared" si="5"/>
        <v>-300</v>
      </c>
      <c r="S21" s="11"/>
      <c r="T21" s="11">
        <f t="shared" si="6"/>
        <v>-300</v>
      </c>
      <c r="U21" s="11">
        <f t="shared" si="7"/>
        <v>-4164.1961033450207</v>
      </c>
      <c r="V21" s="11">
        <f t="shared" si="8"/>
        <v>-4464.1961033450207</v>
      </c>
      <c r="W21" s="11">
        <f t="shared" si="9"/>
        <v>0</v>
      </c>
      <c r="X21" s="11">
        <f t="shared" si="10"/>
        <v>-4464.1961033450207</v>
      </c>
      <c r="Z21" s="11">
        <f t="shared" si="11"/>
        <v>-300</v>
      </c>
      <c r="AA21" s="11">
        <f t="shared" si="12"/>
        <v>0</v>
      </c>
      <c r="AB21" s="11">
        <f t="shared" si="13"/>
        <v>0</v>
      </c>
      <c r="AC21" s="11">
        <f t="shared" si="14"/>
        <v>0</v>
      </c>
      <c r="AD21" s="11">
        <f t="shared" si="15"/>
        <v>-8645.240341349785</v>
      </c>
      <c r="AE21" s="11">
        <f t="shared" si="16"/>
        <v>-8945.240341349785</v>
      </c>
      <c r="AF21" s="11">
        <f t="shared" si="18"/>
        <v>-152069.08580294633</v>
      </c>
      <c r="AG21" s="11">
        <f t="shared" si="17"/>
        <v>-161014.32614429612</v>
      </c>
    </row>
    <row r="22" spans="1:33" ht="15.75" customHeight="1" x14ac:dyDescent="0.35">
      <c r="A22" s="5">
        <f t="shared" si="0"/>
        <v>2023</v>
      </c>
      <c r="B22" s="5" t="str">
        <f t="shared" si="1"/>
        <v>Q1</v>
      </c>
      <c r="C22" s="10">
        <v>44958</v>
      </c>
      <c r="D22" s="11"/>
      <c r="E22" s="11"/>
      <c r="F22" s="11">
        <v>300</v>
      </c>
      <c r="G22" s="11"/>
      <c r="H22" s="11"/>
      <c r="I22" s="11"/>
      <c r="J22" s="11">
        <f t="shared" si="2"/>
        <v>8645.240341349785</v>
      </c>
      <c r="K22" s="11">
        <f>Financiamento!D31</f>
        <v>4550.0523192700384</v>
      </c>
      <c r="L22" s="11">
        <f>Financiamento!C31</f>
        <v>4095.188022079747</v>
      </c>
      <c r="M22" s="11"/>
      <c r="N22" s="11"/>
      <c r="P22" s="11">
        <f t="shared" si="3"/>
        <v>0</v>
      </c>
      <c r="Q22" s="11">
        <f t="shared" si="4"/>
        <v>-300</v>
      </c>
      <c r="R22" s="11">
        <f t="shared" si="5"/>
        <v>-300</v>
      </c>
      <c r="S22" s="11"/>
      <c r="T22" s="11">
        <f t="shared" si="6"/>
        <v>-300</v>
      </c>
      <c r="U22" s="11">
        <f t="shared" si="7"/>
        <v>-4095.188022079747</v>
      </c>
      <c r="V22" s="11">
        <f t="shared" si="8"/>
        <v>-4395.1880220797466</v>
      </c>
      <c r="W22" s="11">
        <f t="shared" si="9"/>
        <v>0</v>
      </c>
      <c r="X22" s="11">
        <f t="shared" si="10"/>
        <v>-4395.1880220797466</v>
      </c>
      <c r="Z22" s="11">
        <f t="shared" si="11"/>
        <v>-300</v>
      </c>
      <c r="AA22" s="11">
        <f t="shared" si="12"/>
        <v>0</v>
      </c>
      <c r="AB22" s="11">
        <f t="shared" si="13"/>
        <v>0</v>
      </c>
      <c r="AC22" s="11">
        <f t="shared" si="14"/>
        <v>0</v>
      </c>
      <c r="AD22" s="11">
        <f t="shared" si="15"/>
        <v>-8645.240341349785</v>
      </c>
      <c r="AE22" s="11">
        <f t="shared" si="16"/>
        <v>-8945.240341349785</v>
      </c>
      <c r="AF22" s="11">
        <f t="shared" si="18"/>
        <v>-161014.32614429612</v>
      </c>
      <c r="AG22" s="11">
        <f t="shared" si="17"/>
        <v>-169959.56648564592</v>
      </c>
    </row>
    <row r="23" spans="1:33" ht="15.75" customHeight="1" x14ac:dyDescent="0.35">
      <c r="A23" s="5">
        <f t="shared" si="0"/>
        <v>2023</v>
      </c>
      <c r="B23" s="5" t="str">
        <f t="shared" si="1"/>
        <v>Q1</v>
      </c>
      <c r="C23" s="10">
        <v>44986</v>
      </c>
      <c r="D23" s="11">
        <f>'Faturamento 235'!P4+'Faturamento Itaipu'!L2+'Faturamento Icaraí'!P2</f>
        <v>6633.9299650000003</v>
      </c>
      <c r="E23" s="11"/>
      <c r="F23" s="11">
        <v>300</v>
      </c>
      <c r="G23" s="11"/>
      <c r="H23" s="11"/>
      <c r="I23" s="11">
        <f t="shared" ref="I23:I61" si="19">D23*6%</f>
        <v>398.03579789999998</v>
      </c>
      <c r="J23" s="11">
        <f t="shared" si="2"/>
        <v>8645.240341349785</v>
      </c>
      <c r="K23" s="11">
        <f>Financiamento!D32</f>
        <v>4620.123124986796</v>
      </c>
      <c r="L23" s="11">
        <f>Financiamento!C32</f>
        <v>4025.1172163629885</v>
      </c>
      <c r="M23" s="11"/>
      <c r="N23" s="11"/>
      <c r="P23" s="11">
        <f t="shared" si="3"/>
        <v>6633.9299650000003</v>
      </c>
      <c r="Q23" s="11">
        <f t="shared" si="4"/>
        <v>-300</v>
      </c>
      <c r="R23" s="11">
        <f t="shared" si="5"/>
        <v>6333.9299650000003</v>
      </c>
      <c r="S23" s="11"/>
      <c r="T23" s="11">
        <f t="shared" si="6"/>
        <v>6333.9299650000003</v>
      </c>
      <c r="U23" s="11">
        <f t="shared" si="7"/>
        <v>-4025.1172163629885</v>
      </c>
      <c r="V23" s="11">
        <f t="shared" si="8"/>
        <v>2308.8127486370117</v>
      </c>
      <c r="W23" s="11">
        <f t="shared" si="9"/>
        <v>-398.03579789999998</v>
      </c>
      <c r="X23" s="11">
        <f t="shared" si="10"/>
        <v>1910.7769507370117</v>
      </c>
      <c r="Z23" s="11">
        <f t="shared" si="11"/>
        <v>6333.9299650000003</v>
      </c>
      <c r="AA23" s="11">
        <f t="shared" si="12"/>
        <v>-398.03579789999998</v>
      </c>
      <c r="AB23" s="11">
        <f t="shared" si="13"/>
        <v>0</v>
      </c>
      <c r="AC23" s="11">
        <f t="shared" si="14"/>
        <v>0</v>
      </c>
      <c r="AD23" s="11">
        <f t="shared" si="15"/>
        <v>-8645.240341349785</v>
      </c>
      <c r="AE23" s="11">
        <f t="shared" si="16"/>
        <v>-2709.3461742497848</v>
      </c>
      <c r="AF23" s="11">
        <f t="shared" si="18"/>
        <v>-169959.56648564592</v>
      </c>
      <c r="AG23" s="11">
        <f t="shared" si="17"/>
        <v>-172668.91265989569</v>
      </c>
    </row>
    <row r="24" spans="1:33" ht="15.75" customHeight="1" x14ac:dyDescent="0.35">
      <c r="A24" s="5">
        <f t="shared" si="0"/>
        <v>2023</v>
      </c>
      <c r="B24" s="5" t="str">
        <f t="shared" si="1"/>
        <v>Q2</v>
      </c>
      <c r="C24" s="10">
        <v>45017</v>
      </c>
      <c r="D24" s="11">
        <f>'Faturamento 235'!P5+'Faturamento Itaipu'!L3+'Faturamento Icaraí'!P3</f>
        <v>4801.7426960000003</v>
      </c>
      <c r="E24" s="11"/>
      <c r="F24" s="11">
        <v>300</v>
      </c>
      <c r="G24" s="11"/>
      <c r="H24" s="11"/>
      <c r="I24" s="11">
        <f t="shared" si="19"/>
        <v>288.10456176000002</v>
      </c>
      <c r="J24" s="11">
        <f t="shared" si="2"/>
        <v>8645.240341349785</v>
      </c>
      <c r="K24" s="11">
        <f>Financiamento!D33</f>
        <v>4691.2730211115932</v>
      </c>
      <c r="L24" s="11">
        <f>Financiamento!C33</f>
        <v>3953.9673202381919</v>
      </c>
      <c r="M24" s="11"/>
      <c r="N24" s="11"/>
      <c r="P24" s="11">
        <f t="shared" si="3"/>
        <v>4801.7426960000003</v>
      </c>
      <c r="Q24" s="11">
        <f t="shared" si="4"/>
        <v>-300</v>
      </c>
      <c r="R24" s="11">
        <f t="shared" si="5"/>
        <v>4501.7426960000003</v>
      </c>
      <c r="S24" s="11"/>
      <c r="T24" s="11">
        <f t="shared" si="6"/>
        <v>4501.7426960000003</v>
      </c>
      <c r="U24" s="11">
        <f t="shared" si="7"/>
        <v>-3953.9673202381919</v>
      </c>
      <c r="V24" s="11">
        <f t="shared" si="8"/>
        <v>547.77537576180839</v>
      </c>
      <c r="W24" s="11">
        <f t="shared" si="9"/>
        <v>-288.10456176000002</v>
      </c>
      <c r="X24" s="11">
        <f t="shared" si="10"/>
        <v>259.67081400180837</v>
      </c>
      <c r="Z24" s="11">
        <f t="shared" si="11"/>
        <v>4501.7426960000003</v>
      </c>
      <c r="AA24" s="11">
        <f t="shared" si="12"/>
        <v>-288.10456176000002</v>
      </c>
      <c r="AB24" s="11">
        <f t="shared" si="13"/>
        <v>0</v>
      </c>
      <c r="AC24" s="11">
        <f t="shared" si="14"/>
        <v>0</v>
      </c>
      <c r="AD24" s="11">
        <f t="shared" si="15"/>
        <v>-8645.240341349785</v>
      </c>
      <c r="AE24" s="11">
        <f t="shared" si="16"/>
        <v>-4431.602207109785</v>
      </c>
      <c r="AF24" s="11">
        <f t="shared" si="18"/>
        <v>-172668.91265989569</v>
      </c>
      <c r="AG24" s="11">
        <f t="shared" si="17"/>
        <v>-177100.51486700549</v>
      </c>
    </row>
    <row r="25" spans="1:33" ht="15.75" customHeight="1" x14ac:dyDescent="0.35">
      <c r="A25" s="5">
        <f t="shared" si="0"/>
        <v>2023</v>
      </c>
      <c r="B25" s="5" t="str">
        <f t="shared" si="1"/>
        <v>Q2</v>
      </c>
      <c r="C25" s="10">
        <v>45047</v>
      </c>
      <c r="D25" s="11">
        <f>'Faturamento 235'!P6+'Faturamento Itaipu'!L4+'Faturamento Icaraí'!P4</f>
        <v>5583.9063878799998</v>
      </c>
      <c r="E25" s="11"/>
      <c r="F25" s="11">
        <v>300</v>
      </c>
      <c r="G25" s="11"/>
      <c r="H25" s="11"/>
      <c r="I25" s="11">
        <f t="shared" si="19"/>
        <v>335.03438327279997</v>
      </c>
      <c r="J25" s="11">
        <f t="shared" si="2"/>
        <v>8645.240341349785</v>
      </c>
      <c r="K25" s="11">
        <f>Financiamento!D34</f>
        <v>4763.5186256367115</v>
      </c>
      <c r="L25" s="11">
        <f>Financiamento!C34</f>
        <v>3881.7217157130735</v>
      </c>
      <c r="M25" s="11"/>
      <c r="N25" s="11"/>
      <c r="P25" s="11">
        <f t="shared" si="3"/>
        <v>5583.9063878799998</v>
      </c>
      <c r="Q25" s="11">
        <f t="shared" si="4"/>
        <v>-300</v>
      </c>
      <c r="R25" s="11">
        <f t="shared" si="5"/>
        <v>5283.9063878799998</v>
      </c>
      <c r="S25" s="11"/>
      <c r="T25" s="11">
        <f t="shared" si="6"/>
        <v>5283.9063878799998</v>
      </c>
      <c r="U25" s="11">
        <f t="shared" si="7"/>
        <v>-3881.7217157130735</v>
      </c>
      <c r="V25" s="11">
        <f t="shared" si="8"/>
        <v>1402.1846721669262</v>
      </c>
      <c r="W25" s="11">
        <f t="shared" si="9"/>
        <v>-335.03438327279997</v>
      </c>
      <c r="X25" s="11">
        <f t="shared" si="10"/>
        <v>1067.1502888941263</v>
      </c>
      <c r="Z25" s="11">
        <f t="shared" si="11"/>
        <v>5283.9063878799998</v>
      </c>
      <c r="AA25" s="11">
        <f t="shared" si="12"/>
        <v>-335.03438327279997</v>
      </c>
      <c r="AB25" s="11">
        <f t="shared" si="13"/>
        <v>0</v>
      </c>
      <c r="AC25" s="11">
        <f t="shared" si="14"/>
        <v>0</v>
      </c>
      <c r="AD25" s="11">
        <f t="shared" si="15"/>
        <v>-8645.240341349785</v>
      </c>
      <c r="AE25" s="11">
        <f t="shared" si="16"/>
        <v>-3696.3683367425856</v>
      </c>
      <c r="AF25" s="11">
        <f t="shared" si="18"/>
        <v>-177100.51486700549</v>
      </c>
      <c r="AG25" s="11">
        <f t="shared" si="17"/>
        <v>-180796.88320374809</v>
      </c>
    </row>
    <row r="26" spans="1:33" ht="15.75" customHeight="1" x14ac:dyDescent="0.35">
      <c r="A26" s="5">
        <f t="shared" si="0"/>
        <v>2023</v>
      </c>
      <c r="B26" s="5" t="str">
        <f t="shared" si="1"/>
        <v>Q2</v>
      </c>
      <c r="C26" s="10">
        <v>45078</v>
      </c>
      <c r="D26" s="11">
        <f>'Faturamento 235'!P7+'Faturamento Itaipu'!L5+'Faturamento Icaraí'!P5</f>
        <v>4018.4621670000001</v>
      </c>
      <c r="E26" s="11"/>
      <c r="F26" s="11">
        <v>300</v>
      </c>
      <c r="G26" s="11"/>
      <c r="H26" s="11"/>
      <c r="I26" s="11">
        <f t="shared" si="19"/>
        <v>241.10773001999999</v>
      </c>
      <c r="J26" s="11">
        <f t="shared" si="2"/>
        <v>8645.240341349785</v>
      </c>
      <c r="K26" s="11">
        <f>Financiamento!D35</f>
        <v>4836.876812471517</v>
      </c>
      <c r="L26" s="11">
        <f>Financiamento!C35</f>
        <v>3808.3635288782684</v>
      </c>
      <c r="M26" s="11"/>
      <c r="N26" s="11"/>
      <c r="P26" s="11">
        <f t="shared" si="3"/>
        <v>4018.4621670000001</v>
      </c>
      <c r="Q26" s="11">
        <f t="shared" si="4"/>
        <v>-300</v>
      </c>
      <c r="R26" s="11">
        <f t="shared" si="5"/>
        <v>3718.4621670000001</v>
      </c>
      <c r="S26" s="11"/>
      <c r="T26" s="11">
        <f t="shared" si="6"/>
        <v>3718.4621670000001</v>
      </c>
      <c r="U26" s="11">
        <f t="shared" si="7"/>
        <v>-3808.3635288782684</v>
      </c>
      <c r="V26" s="11">
        <f t="shared" si="8"/>
        <v>-89.90136187826829</v>
      </c>
      <c r="W26" s="11">
        <f t="shared" si="9"/>
        <v>-241.10773001999999</v>
      </c>
      <c r="X26" s="11">
        <f t="shared" si="10"/>
        <v>-331.00909189826825</v>
      </c>
      <c r="Z26" s="11">
        <f t="shared" si="11"/>
        <v>3718.4621670000001</v>
      </c>
      <c r="AA26" s="11">
        <f t="shared" si="12"/>
        <v>-241.10773001999999</v>
      </c>
      <c r="AB26" s="11">
        <f t="shared" si="13"/>
        <v>0</v>
      </c>
      <c r="AC26" s="11">
        <f t="shared" si="14"/>
        <v>0</v>
      </c>
      <c r="AD26" s="11">
        <f t="shared" si="15"/>
        <v>-8645.240341349785</v>
      </c>
      <c r="AE26" s="11">
        <f t="shared" si="16"/>
        <v>-5167.8859043697848</v>
      </c>
      <c r="AF26" s="11">
        <f t="shared" si="18"/>
        <v>-180796.88320374809</v>
      </c>
      <c r="AG26" s="11">
        <f t="shared" si="17"/>
        <v>-185964.76910811788</v>
      </c>
    </row>
    <row r="27" spans="1:33" ht="15.75" customHeight="1" x14ac:dyDescent="0.35">
      <c r="A27" s="5">
        <f t="shared" si="0"/>
        <v>2023</v>
      </c>
      <c r="B27" s="5" t="str">
        <f t="shared" si="1"/>
        <v>Q3</v>
      </c>
      <c r="C27" s="10">
        <v>45108</v>
      </c>
      <c r="D27" s="11">
        <f>'Faturamento 235'!P8+'Faturamento Itaipu'!L6+'Faturamento Icaraí'!P6</f>
        <v>3394.6011600000002</v>
      </c>
      <c r="E27" s="11"/>
      <c r="F27" s="11">
        <v>300</v>
      </c>
      <c r="G27" s="11"/>
      <c r="H27" s="11"/>
      <c r="I27" s="11">
        <f t="shared" si="19"/>
        <v>203.67606960000001</v>
      </c>
      <c r="J27" s="11">
        <f t="shared" si="2"/>
        <v>8645.240341349785</v>
      </c>
      <c r="K27" s="11">
        <f>Financiamento!D36</f>
        <v>4911.3647153835773</v>
      </c>
      <c r="L27" s="11">
        <f>Financiamento!C36</f>
        <v>3733.8756259662073</v>
      </c>
      <c r="M27" s="11"/>
      <c r="N27" s="11"/>
      <c r="P27" s="11">
        <f t="shared" si="3"/>
        <v>3394.6011600000002</v>
      </c>
      <c r="Q27" s="11">
        <f t="shared" si="4"/>
        <v>-300</v>
      </c>
      <c r="R27" s="11">
        <f t="shared" si="5"/>
        <v>3094.6011600000002</v>
      </c>
      <c r="S27" s="11"/>
      <c r="T27" s="11">
        <f t="shared" si="6"/>
        <v>3094.6011600000002</v>
      </c>
      <c r="U27" s="11">
        <f t="shared" si="7"/>
        <v>-3733.8756259662073</v>
      </c>
      <c r="V27" s="11">
        <f t="shared" si="8"/>
        <v>-639.27446596620712</v>
      </c>
      <c r="W27" s="11">
        <f t="shared" si="9"/>
        <v>-203.67606960000001</v>
      </c>
      <c r="X27" s="11">
        <f t="shared" si="10"/>
        <v>-842.95053556620712</v>
      </c>
      <c r="Z27" s="11">
        <f t="shared" si="11"/>
        <v>3094.6011600000002</v>
      </c>
      <c r="AA27" s="11">
        <f t="shared" si="12"/>
        <v>-203.67606960000001</v>
      </c>
      <c r="AB27" s="11">
        <f t="shared" si="13"/>
        <v>0</v>
      </c>
      <c r="AC27" s="11">
        <f t="shared" si="14"/>
        <v>0</v>
      </c>
      <c r="AD27" s="11">
        <f t="shared" si="15"/>
        <v>-8645.240341349785</v>
      </c>
      <c r="AE27" s="11">
        <f t="shared" si="16"/>
        <v>-5754.315250949785</v>
      </c>
      <c r="AF27" s="11">
        <f t="shared" si="18"/>
        <v>-185964.76910811788</v>
      </c>
      <c r="AG27" s="11">
        <f t="shared" si="17"/>
        <v>-191719.08435906767</v>
      </c>
    </row>
    <row r="28" spans="1:33" ht="15.75" customHeight="1" x14ac:dyDescent="0.35">
      <c r="A28" s="5">
        <f t="shared" si="0"/>
        <v>2023</v>
      </c>
      <c r="B28" s="5" t="str">
        <f t="shared" si="1"/>
        <v>Q3</v>
      </c>
      <c r="C28" s="10">
        <v>45139</v>
      </c>
      <c r="D28" s="11">
        <f>'Faturamento 235'!P9+'Faturamento Itaipu'!L7+'Faturamento Icaraí'!P7</f>
        <v>3812.6327249200003</v>
      </c>
      <c r="E28" s="11">
        <v>1700</v>
      </c>
      <c r="F28" s="11">
        <v>300</v>
      </c>
      <c r="G28" s="11">
        <v>236.27</v>
      </c>
      <c r="H28" s="11"/>
      <c r="I28" s="11">
        <f t="shared" si="19"/>
        <v>228.75796349520002</v>
      </c>
      <c r="J28" s="11">
        <f t="shared" si="2"/>
        <v>8645.240341349785</v>
      </c>
      <c r="K28" s="11">
        <f>Financiamento!D37</f>
        <v>4986.9997320004859</v>
      </c>
      <c r="L28" s="11">
        <f>Financiamento!C37</f>
        <v>3658.2406093492996</v>
      </c>
      <c r="M28" s="11"/>
      <c r="N28" s="11"/>
      <c r="P28" s="11">
        <f t="shared" si="3"/>
        <v>3812.6327249200003</v>
      </c>
      <c r="Q28" s="11">
        <f t="shared" si="4"/>
        <v>-2236.27</v>
      </c>
      <c r="R28" s="11">
        <f t="shared" si="5"/>
        <v>1576.3627249200003</v>
      </c>
      <c r="S28" s="11"/>
      <c r="T28" s="11">
        <f t="shared" si="6"/>
        <v>1576.3627249200003</v>
      </c>
      <c r="U28" s="11">
        <f t="shared" si="7"/>
        <v>-3658.2406093492996</v>
      </c>
      <c r="V28" s="11">
        <f t="shared" si="8"/>
        <v>-2081.8778844292992</v>
      </c>
      <c r="W28" s="11">
        <f t="shared" si="9"/>
        <v>-228.75796349520002</v>
      </c>
      <c r="X28" s="11">
        <f t="shared" si="10"/>
        <v>-2310.6358479244991</v>
      </c>
      <c r="Z28" s="11">
        <f t="shared" si="11"/>
        <v>1576.3627249200003</v>
      </c>
      <c r="AA28" s="11">
        <f t="shared" si="12"/>
        <v>-228.75796349520002</v>
      </c>
      <c r="AB28" s="11">
        <f t="shared" si="13"/>
        <v>0</v>
      </c>
      <c r="AC28" s="11">
        <f t="shared" si="14"/>
        <v>0</v>
      </c>
      <c r="AD28" s="11">
        <f t="shared" si="15"/>
        <v>-8645.240341349785</v>
      </c>
      <c r="AE28" s="11">
        <f t="shared" si="16"/>
        <v>-7297.635579924985</v>
      </c>
      <c r="AF28" s="11">
        <f t="shared" si="18"/>
        <v>-191719.08435906767</v>
      </c>
      <c r="AG28" s="11">
        <f t="shared" si="17"/>
        <v>-199016.71993899264</v>
      </c>
    </row>
    <row r="29" spans="1:33" ht="15.75" customHeight="1" x14ac:dyDescent="0.35">
      <c r="A29" s="5">
        <f t="shared" si="0"/>
        <v>2023</v>
      </c>
      <c r="B29" s="5" t="str">
        <f t="shared" si="1"/>
        <v>Q3</v>
      </c>
      <c r="C29" s="10">
        <v>45170</v>
      </c>
      <c r="D29" s="11">
        <f>'Faturamento 235'!P10+'Faturamento Itaipu'!L8+'Faturamento Icaraí'!P8</f>
        <v>4381.9086560000005</v>
      </c>
      <c r="E29" s="11"/>
      <c r="F29" s="11">
        <v>300</v>
      </c>
      <c r="G29" s="11"/>
      <c r="H29" s="11"/>
      <c r="I29" s="11">
        <f t="shared" si="19"/>
        <v>262.91451936000004</v>
      </c>
      <c r="J29" s="11">
        <f t="shared" si="2"/>
        <v>8645.240341349785</v>
      </c>
      <c r="K29" s="11">
        <f>Financiamento!D38</f>
        <v>5063.7995278732924</v>
      </c>
      <c r="L29" s="11">
        <f>Financiamento!C38</f>
        <v>3581.4408134764922</v>
      </c>
      <c r="M29" s="11"/>
      <c r="N29" s="11"/>
      <c r="P29" s="11">
        <f t="shared" si="3"/>
        <v>4381.9086560000005</v>
      </c>
      <c r="Q29" s="11">
        <f t="shared" si="4"/>
        <v>-300</v>
      </c>
      <c r="R29" s="11">
        <f t="shared" si="5"/>
        <v>4081.9086560000005</v>
      </c>
      <c r="S29" s="11"/>
      <c r="T29" s="11">
        <f t="shared" si="6"/>
        <v>4081.9086560000005</v>
      </c>
      <c r="U29" s="11">
        <f t="shared" si="7"/>
        <v>-3581.4408134764922</v>
      </c>
      <c r="V29" s="11">
        <f t="shared" si="8"/>
        <v>500.46784252350835</v>
      </c>
      <c r="W29" s="11">
        <f t="shared" si="9"/>
        <v>-262.91451936000004</v>
      </c>
      <c r="X29" s="11">
        <f t="shared" si="10"/>
        <v>237.55332316350831</v>
      </c>
      <c r="Z29" s="11">
        <f t="shared" si="11"/>
        <v>4081.9086560000005</v>
      </c>
      <c r="AA29" s="11">
        <f t="shared" si="12"/>
        <v>-262.91451936000004</v>
      </c>
      <c r="AB29" s="11">
        <f t="shared" si="13"/>
        <v>0</v>
      </c>
      <c r="AC29" s="11">
        <f t="shared" si="14"/>
        <v>0</v>
      </c>
      <c r="AD29" s="11">
        <f t="shared" si="15"/>
        <v>-8645.240341349785</v>
      </c>
      <c r="AE29" s="11">
        <f t="shared" si="16"/>
        <v>-4826.2462047097852</v>
      </c>
      <c r="AF29" s="11">
        <f t="shared" si="18"/>
        <v>-199016.71993899264</v>
      </c>
      <c r="AG29" s="11">
        <f t="shared" si="17"/>
        <v>-203842.96614370242</v>
      </c>
    </row>
    <row r="30" spans="1:33" ht="15.75" customHeight="1" x14ac:dyDescent="0.35">
      <c r="A30" s="5">
        <f t="shared" si="0"/>
        <v>2023</v>
      </c>
      <c r="B30" s="5" t="str">
        <f t="shared" si="1"/>
        <v>Q4</v>
      </c>
      <c r="C30" s="10">
        <v>45200</v>
      </c>
      <c r="D30" s="11">
        <f>'Faturamento 235'!P11+'Faturamento Itaipu'!L9+'Faturamento Icaraí'!P9</f>
        <v>4485.1538639999999</v>
      </c>
      <c r="E30" s="11"/>
      <c r="F30" s="11">
        <v>300</v>
      </c>
      <c r="G30" s="11"/>
      <c r="H30" s="11"/>
      <c r="I30" s="11">
        <f t="shared" si="19"/>
        <v>269.10923184000001</v>
      </c>
      <c r="J30" s="11">
        <f t="shared" si="2"/>
        <v>8645.240341349785</v>
      </c>
      <c r="K30" s="11">
        <f>Financiamento!D39</f>
        <v>5141.7820406025412</v>
      </c>
      <c r="L30" s="11">
        <f>Financiamento!C39</f>
        <v>3503.4583007472438</v>
      </c>
      <c r="M30" s="11"/>
      <c r="N30" s="11"/>
      <c r="P30" s="11">
        <f t="shared" si="3"/>
        <v>4485.1538639999999</v>
      </c>
      <c r="Q30" s="11">
        <f t="shared" si="4"/>
        <v>-300</v>
      </c>
      <c r="R30" s="11">
        <f t="shared" si="5"/>
        <v>4185.1538639999999</v>
      </c>
      <c r="S30" s="11"/>
      <c r="T30" s="11">
        <f t="shared" si="6"/>
        <v>4185.1538639999999</v>
      </c>
      <c r="U30" s="11">
        <f t="shared" si="7"/>
        <v>-3503.4583007472438</v>
      </c>
      <c r="V30" s="11">
        <f t="shared" si="8"/>
        <v>681.69556325275607</v>
      </c>
      <c r="W30" s="11">
        <f t="shared" si="9"/>
        <v>-269.10923184000001</v>
      </c>
      <c r="X30" s="11">
        <f t="shared" si="10"/>
        <v>412.58633141275607</v>
      </c>
      <c r="Z30" s="11">
        <f t="shared" si="11"/>
        <v>4185.1538639999999</v>
      </c>
      <c r="AA30" s="11">
        <f t="shared" si="12"/>
        <v>-269.10923184000001</v>
      </c>
      <c r="AB30" s="11">
        <f t="shared" si="13"/>
        <v>0</v>
      </c>
      <c r="AC30" s="11">
        <f t="shared" si="14"/>
        <v>0</v>
      </c>
      <c r="AD30" s="11">
        <f t="shared" si="15"/>
        <v>-8645.240341349785</v>
      </c>
      <c r="AE30" s="11">
        <f t="shared" si="16"/>
        <v>-4729.1957091897857</v>
      </c>
      <c r="AF30" s="11">
        <f t="shared" si="18"/>
        <v>-203842.96614370242</v>
      </c>
      <c r="AG30" s="11">
        <f t="shared" si="17"/>
        <v>-208572.1618528922</v>
      </c>
    </row>
    <row r="31" spans="1:33" ht="15.75" customHeight="1" x14ac:dyDescent="0.35">
      <c r="A31" s="5">
        <f t="shared" si="0"/>
        <v>2023</v>
      </c>
      <c r="B31" s="5" t="str">
        <f t="shared" si="1"/>
        <v>Q4</v>
      </c>
      <c r="C31" s="10">
        <v>45231</v>
      </c>
      <c r="D31" s="11">
        <f>'Faturamento 235'!P12+'Faturamento Itaipu'!L10+'Faturamento Icaraí'!P10</f>
        <v>5180.3796350000002</v>
      </c>
      <c r="E31" s="11"/>
      <c r="F31" s="11">
        <v>300</v>
      </c>
      <c r="G31" s="11"/>
      <c r="H31" s="11"/>
      <c r="I31" s="11">
        <f t="shared" si="19"/>
        <v>310.82277809999999</v>
      </c>
      <c r="J31" s="11">
        <f t="shared" si="2"/>
        <v>8645.240341349785</v>
      </c>
      <c r="K31" s="11">
        <f>Financiamento!D40</f>
        <v>5220.9654840278199</v>
      </c>
      <c r="L31" s="11">
        <f>Financiamento!C40</f>
        <v>3424.2748573219646</v>
      </c>
      <c r="M31" s="11"/>
      <c r="N31" s="11"/>
      <c r="P31" s="11">
        <f t="shared" si="3"/>
        <v>5180.3796350000002</v>
      </c>
      <c r="Q31" s="11">
        <f t="shared" si="4"/>
        <v>-300</v>
      </c>
      <c r="R31" s="11">
        <f t="shared" si="5"/>
        <v>4880.3796350000002</v>
      </c>
      <c r="S31" s="11"/>
      <c r="T31" s="11">
        <f t="shared" si="6"/>
        <v>4880.3796350000002</v>
      </c>
      <c r="U31" s="11">
        <f t="shared" si="7"/>
        <v>-3424.2748573219646</v>
      </c>
      <c r="V31" s="11">
        <f t="shared" si="8"/>
        <v>1456.1047776780356</v>
      </c>
      <c r="W31" s="11">
        <f t="shared" si="9"/>
        <v>-310.82277809999999</v>
      </c>
      <c r="X31" s="11">
        <f t="shared" si="10"/>
        <v>1145.2819995780355</v>
      </c>
      <c r="Z31" s="11">
        <f t="shared" si="11"/>
        <v>4880.3796350000002</v>
      </c>
      <c r="AA31" s="11">
        <f t="shared" si="12"/>
        <v>-310.82277809999999</v>
      </c>
      <c r="AB31" s="11">
        <f t="shared" si="13"/>
        <v>0</v>
      </c>
      <c r="AC31" s="11">
        <f t="shared" si="14"/>
        <v>0</v>
      </c>
      <c r="AD31" s="11">
        <f t="shared" si="15"/>
        <v>-8645.240341349785</v>
      </c>
      <c r="AE31" s="11">
        <f t="shared" si="16"/>
        <v>-4075.6834844497844</v>
      </c>
      <c r="AF31" s="11">
        <f t="shared" si="18"/>
        <v>-208572.1618528922</v>
      </c>
      <c r="AG31" s="11">
        <f t="shared" si="17"/>
        <v>-212647.84533734198</v>
      </c>
    </row>
    <row r="32" spans="1:33" ht="15.75" customHeight="1" x14ac:dyDescent="0.35">
      <c r="A32" s="5">
        <f t="shared" si="0"/>
        <v>2023</v>
      </c>
      <c r="B32" s="5" t="str">
        <f t="shared" si="1"/>
        <v>Q4</v>
      </c>
      <c r="C32" s="10">
        <v>45261</v>
      </c>
      <c r="D32" s="11">
        <f>'Faturamento 235'!P13+'Faturamento Itaipu'!L11+'Faturamento Icaraí'!P11</f>
        <v>4679.9758519999996</v>
      </c>
      <c r="E32" s="11"/>
      <c r="F32" s="11">
        <v>300</v>
      </c>
      <c r="G32" s="11">
        <v>1129.75</v>
      </c>
      <c r="H32" s="11">
        <v>720</v>
      </c>
      <c r="I32" s="11">
        <f t="shared" si="19"/>
        <v>280.79855111999996</v>
      </c>
      <c r="J32" s="11">
        <f t="shared" si="2"/>
        <v>8645.240341349785</v>
      </c>
      <c r="K32" s="11">
        <f>Financiamento!D41</f>
        <v>5301.368352481848</v>
      </c>
      <c r="L32" s="11">
        <f>Financiamento!C41</f>
        <v>3343.8719888679366</v>
      </c>
      <c r="M32" s="11"/>
      <c r="N32" s="11"/>
      <c r="P32" s="11">
        <f t="shared" si="3"/>
        <v>4679.9758519999996</v>
      </c>
      <c r="Q32" s="11">
        <f t="shared" si="4"/>
        <v>-2149.75</v>
      </c>
      <c r="R32" s="11">
        <f t="shared" si="5"/>
        <v>2530.2258519999996</v>
      </c>
      <c r="S32" s="11"/>
      <c r="T32" s="11">
        <f t="shared" si="6"/>
        <v>2530.2258519999996</v>
      </c>
      <c r="U32" s="11">
        <f t="shared" si="7"/>
        <v>-3343.8719888679366</v>
      </c>
      <c r="V32" s="11">
        <f t="shared" si="8"/>
        <v>-813.646136867937</v>
      </c>
      <c r="W32" s="11">
        <f t="shared" si="9"/>
        <v>-280.79855111999996</v>
      </c>
      <c r="X32" s="11">
        <f t="shared" si="10"/>
        <v>-1094.444687987937</v>
      </c>
      <c r="Z32" s="11">
        <f t="shared" si="11"/>
        <v>2530.2258519999996</v>
      </c>
      <c r="AA32" s="11">
        <f t="shared" si="12"/>
        <v>-280.79855111999996</v>
      </c>
      <c r="AB32" s="11">
        <f t="shared" si="13"/>
        <v>0</v>
      </c>
      <c r="AC32" s="11">
        <f t="shared" si="14"/>
        <v>0</v>
      </c>
      <c r="AD32" s="11">
        <f t="shared" si="15"/>
        <v>-8645.240341349785</v>
      </c>
      <c r="AE32" s="11">
        <f t="shared" si="16"/>
        <v>-6395.8130404697858</v>
      </c>
      <c r="AF32" s="11">
        <f t="shared" si="18"/>
        <v>-212647.84533734198</v>
      </c>
      <c r="AG32" s="11">
        <f t="shared" si="17"/>
        <v>-219043.65837781175</v>
      </c>
    </row>
    <row r="33" spans="1:33" ht="15.75" customHeight="1" x14ac:dyDescent="0.35">
      <c r="A33" s="5">
        <f t="shared" si="0"/>
        <v>2024</v>
      </c>
      <c r="B33" s="5" t="str">
        <f t="shared" si="1"/>
        <v>Q1</v>
      </c>
      <c r="C33" s="10">
        <v>45292</v>
      </c>
      <c r="D33" s="11">
        <f>'Faturamento 235'!P14+'Faturamento Itaipu'!L12+'Faturamento Icaraí'!P12</f>
        <v>4204.0458900000003</v>
      </c>
      <c r="E33" s="11"/>
      <c r="F33" s="11">
        <v>300</v>
      </c>
      <c r="G33" s="11"/>
      <c r="H33" s="11"/>
      <c r="I33" s="11">
        <f t="shared" si="19"/>
        <v>252.2427534</v>
      </c>
      <c r="J33" s="11">
        <f t="shared" si="2"/>
        <v>8645.240341349785</v>
      </c>
      <c r="K33" s="11">
        <f>Financiamento!D42</f>
        <v>5383.0094251100691</v>
      </c>
      <c r="L33" s="11">
        <f>Financiamento!C42</f>
        <v>3262.230916239716</v>
      </c>
      <c r="M33" s="11"/>
      <c r="N33" s="11"/>
      <c r="P33" s="11">
        <f t="shared" si="3"/>
        <v>4204.0458900000003</v>
      </c>
      <c r="Q33" s="11">
        <f t="shared" si="4"/>
        <v>-300</v>
      </c>
      <c r="R33" s="11">
        <f t="shared" si="5"/>
        <v>3904.0458900000003</v>
      </c>
      <c r="S33" s="11"/>
      <c r="T33" s="11">
        <f t="shared" si="6"/>
        <v>3904.0458900000003</v>
      </c>
      <c r="U33" s="11">
        <f t="shared" si="7"/>
        <v>-3262.230916239716</v>
      </c>
      <c r="V33" s="11">
        <f t="shared" si="8"/>
        <v>641.81497376028437</v>
      </c>
      <c r="W33" s="11">
        <f t="shared" si="9"/>
        <v>-252.2427534</v>
      </c>
      <c r="X33" s="11">
        <f t="shared" si="10"/>
        <v>389.5722203602844</v>
      </c>
      <c r="Z33" s="11">
        <f t="shared" si="11"/>
        <v>3904.0458900000003</v>
      </c>
      <c r="AA33" s="11">
        <f t="shared" si="12"/>
        <v>-252.2427534</v>
      </c>
      <c r="AB33" s="11">
        <f t="shared" si="13"/>
        <v>0</v>
      </c>
      <c r="AC33" s="11">
        <f t="shared" si="14"/>
        <v>0</v>
      </c>
      <c r="AD33" s="11">
        <f t="shared" si="15"/>
        <v>-8645.240341349785</v>
      </c>
      <c r="AE33" s="11">
        <f t="shared" si="16"/>
        <v>-4993.4372047497845</v>
      </c>
      <c r="AF33" s="11">
        <f t="shared" si="18"/>
        <v>-219043.65837781175</v>
      </c>
      <c r="AG33" s="11">
        <f t="shared" si="17"/>
        <v>-224037.09558256154</v>
      </c>
    </row>
    <row r="34" spans="1:33" ht="15.75" customHeight="1" x14ac:dyDescent="0.35">
      <c r="A34" s="5">
        <f t="shared" si="0"/>
        <v>2024</v>
      </c>
      <c r="B34" s="5" t="str">
        <f t="shared" si="1"/>
        <v>Q1</v>
      </c>
      <c r="C34" s="10">
        <v>45323</v>
      </c>
      <c r="D34" s="11">
        <f>'Faturamento 235'!P15+'Faturamento Itaipu'!L13+'Faturamento Icaraí'!P13+'Faturamento Laura Jardim'!L2</f>
        <v>5809.9942949999995</v>
      </c>
      <c r="E34" s="11"/>
      <c r="F34" s="11">
        <v>300</v>
      </c>
      <c r="G34" s="11"/>
      <c r="H34" s="11"/>
      <c r="I34" s="11">
        <f t="shared" si="19"/>
        <v>348.59965769999997</v>
      </c>
      <c r="J34" s="11">
        <f t="shared" si="2"/>
        <v>8645.240341349785</v>
      </c>
      <c r="K34" s="11">
        <f>Financiamento!D43</f>
        <v>5465.9077702567638</v>
      </c>
      <c r="L34" s="11">
        <f>Financiamento!C43</f>
        <v>3179.3325710930212</v>
      </c>
      <c r="M34" s="11"/>
      <c r="N34" s="11"/>
      <c r="P34" s="11">
        <f t="shared" si="3"/>
        <v>5809.9942949999995</v>
      </c>
      <c r="Q34" s="11">
        <f t="shared" si="4"/>
        <v>-300</v>
      </c>
      <c r="R34" s="11">
        <f t="shared" si="5"/>
        <v>5509.9942949999995</v>
      </c>
      <c r="S34" s="11"/>
      <c r="T34" s="11">
        <f t="shared" si="6"/>
        <v>5509.9942949999995</v>
      </c>
      <c r="U34" s="11">
        <f t="shared" si="7"/>
        <v>-3179.3325710930212</v>
      </c>
      <c r="V34" s="11">
        <f t="shared" si="8"/>
        <v>2330.6617239069783</v>
      </c>
      <c r="W34" s="11">
        <f t="shared" si="9"/>
        <v>-348.59965769999997</v>
      </c>
      <c r="X34" s="11">
        <f t="shared" si="10"/>
        <v>1982.0620662069782</v>
      </c>
      <c r="Z34" s="11">
        <f t="shared" si="11"/>
        <v>5509.9942949999995</v>
      </c>
      <c r="AA34" s="11">
        <f t="shared" si="12"/>
        <v>-348.59965769999997</v>
      </c>
      <c r="AB34" s="11">
        <f t="shared" si="13"/>
        <v>0</v>
      </c>
      <c r="AC34" s="11">
        <f t="shared" si="14"/>
        <v>0</v>
      </c>
      <c r="AD34" s="11">
        <f t="shared" si="15"/>
        <v>-8645.240341349785</v>
      </c>
      <c r="AE34" s="11">
        <f t="shared" si="16"/>
        <v>-3483.8457040497851</v>
      </c>
      <c r="AF34" s="11">
        <f t="shared" si="18"/>
        <v>-224037.09558256154</v>
      </c>
      <c r="AG34" s="11">
        <f t="shared" si="17"/>
        <v>-227520.94128661131</v>
      </c>
    </row>
    <row r="35" spans="1:33" ht="15.75" customHeight="1" x14ac:dyDescent="0.35">
      <c r="A35" s="5">
        <f t="shared" si="0"/>
        <v>2024</v>
      </c>
      <c r="B35" s="5" t="str">
        <f t="shared" si="1"/>
        <v>Q1</v>
      </c>
      <c r="C35" s="10">
        <v>45352</v>
      </c>
      <c r="D35" s="11">
        <f>'Faturamento 235'!P16+'Faturamento Itaipu'!L14+'Faturamento Icaraí'!P14+'Faturamento Laura Jardim'!L3</f>
        <v>6923.6927100000012</v>
      </c>
      <c r="E35" s="11"/>
      <c r="F35" s="11">
        <v>300</v>
      </c>
      <c r="G35" s="11"/>
      <c r="H35" s="11"/>
      <c r="I35" s="11">
        <f t="shared" si="19"/>
        <v>415.42156260000007</v>
      </c>
      <c r="J35" s="11">
        <f t="shared" si="2"/>
        <v>8645.240341349785</v>
      </c>
      <c r="K35" s="11">
        <f>Financiamento!D44</f>
        <v>5550.082749918718</v>
      </c>
      <c r="L35" s="11">
        <f>Financiamento!C44</f>
        <v>3095.157591431067</v>
      </c>
      <c r="M35" s="11"/>
      <c r="N35" s="11"/>
      <c r="P35" s="11">
        <f t="shared" si="3"/>
        <v>6923.6927100000012</v>
      </c>
      <c r="Q35" s="11">
        <f t="shared" si="4"/>
        <v>-300</v>
      </c>
      <c r="R35" s="11">
        <f t="shared" si="5"/>
        <v>6623.6927100000012</v>
      </c>
      <c r="S35" s="11"/>
      <c r="T35" s="11">
        <f t="shared" si="6"/>
        <v>6623.6927100000012</v>
      </c>
      <c r="U35" s="11">
        <f t="shared" si="7"/>
        <v>-3095.157591431067</v>
      </c>
      <c r="V35" s="11">
        <f t="shared" si="8"/>
        <v>3528.5351185689342</v>
      </c>
      <c r="W35" s="11">
        <f t="shared" si="9"/>
        <v>-415.42156260000007</v>
      </c>
      <c r="X35" s="11">
        <f t="shared" si="10"/>
        <v>3113.1135559689342</v>
      </c>
      <c r="Z35" s="11">
        <f t="shared" si="11"/>
        <v>6623.6927100000012</v>
      </c>
      <c r="AA35" s="11">
        <f t="shared" si="12"/>
        <v>-415.42156260000007</v>
      </c>
      <c r="AB35" s="11">
        <f t="shared" si="13"/>
        <v>0</v>
      </c>
      <c r="AC35" s="11">
        <f t="shared" si="14"/>
        <v>0</v>
      </c>
      <c r="AD35" s="11">
        <f t="shared" si="15"/>
        <v>-8645.240341349785</v>
      </c>
      <c r="AE35" s="11">
        <f t="shared" si="16"/>
        <v>-2436.9691939497843</v>
      </c>
      <c r="AF35" s="11">
        <f t="shared" si="18"/>
        <v>-227520.94128661131</v>
      </c>
      <c r="AG35" s="11">
        <f t="shared" si="17"/>
        <v>-229957.91048056108</v>
      </c>
    </row>
    <row r="36" spans="1:33" ht="15.75" customHeight="1" x14ac:dyDescent="0.35">
      <c r="A36" s="5">
        <f t="shared" si="0"/>
        <v>2024</v>
      </c>
      <c r="B36" s="5" t="str">
        <f t="shared" si="1"/>
        <v>Q2</v>
      </c>
      <c r="C36" s="10">
        <v>45383</v>
      </c>
      <c r="D36" s="11">
        <f>'Faturamento 235'!P17+'Faturamento Itaipu'!L15+'Faturamento Icaraí'!P15+'Faturamento Laura Jardim'!L4</f>
        <v>5791.3046250000007</v>
      </c>
      <c r="E36" s="11"/>
      <c r="F36" s="11">
        <v>300</v>
      </c>
      <c r="G36" s="11"/>
      <c r="H36" s="11"/>
      <c r="I36" s="11">
        <f t="shared" si="19"/>
        <v>347.47827750000005</v>
      </c>
      <c r="J36" s="11">
        <f t="shared" si="2"/>
        <v>8645.240341349785</v>
      </c>
      <c r="K36" s="11">
        <f>Financiamento!D45</f>
        <v>5635.554024267467</v>
      </c>
      <c r="L36" s="11">
        <f>Financiamento!C45</f>
        <v>3009.6863170823185</v>
      </c>
      <c r="M36" s="11"/>
      <c r="N36" s="11"/>
      <c r="P36" s="11">
        <f t="shared" si="3"/>
        <v>5791.3046250000007</v>
      </c>
      <c r="Q36" s="11">
        <f t="shared" si="4"/>
        <v>-300</v>
      </c>
      <c r="R36" s="11">
        <f t="shared" si="5"/>
        <v>5491.3046250000007</v>
      </c>
      <c r="S36" s="11"/>
      <c r="T36" s="11">
        <f t="shared" si="6"/>
        <v>5491.3046250000007</v>
      </c>
      <c r="U36" s="11">
        <f t="shared" si="7"/>
        <v>-3009.6863170823185</v>
      </c>
      <c r="V36" s="11">
        <f t="shared" si="8"/>
        <v>2481.6183079176822</v>
      </c>
      <c r="W36" s="11">
        <f t="shared" si="9"/>
        <v>-347.47827750000005</v>
      </c>
      <c r="X36" s="11">
        <f t="shared" si="10"/>
        <v>2134.1400304176823</v>
      </c>
      <c r="Z36" s="11">
        <f t="shared" si="11"/>
        <v>5491.3046250000007</v>
      </c>
      <c r="AA36" s="11">
        <f t="shared" si="12"/>
        <v>-347.47827750000005</v>
      </c>
      <c r="AB36" s="11">
        <f t="shared" si="13"/>
        <v>0</v>
      </c>
      <c r="AC36" s="11">
        <f t="shared" si="14"/>
        <v>0</v>
      </c>
      <c r="AD36" s="11">
        <f t="shared" si="15"/>
        <v>-8645.240341349785</v>
      </c>
      <c r="AE36" s="11">
        <f t="shared" si="16"/>
        <v>-3501.4139938497847</v>
      </c>
      <c r="AF36" s="11">
        <f t="shared" si="18"/>
        <v>-229957.91048056108</v>
      </c>
      <c r="AG36" s="11">
        <f t="shared" si="17"/>
        <v>-233459.32447441088</v>
      </c>
    </row>
    <row r="37" spans="1:33" ht="15.75" customHeight="1" x14ac:dyDescent="0.35">
      <c r="A37" s="5">
        <f t="shared" si="0"/>
        <v>2024</v>
      </c>
      <c r="B37" s="5" t="str">
        <f t="shared" si="1"/>
        <v>Q2</v>
      </c>
      <c r="C37" s="10">
        <v>45413</v>
      </c>
      <c r="D37" s="11">
        <f>'Faturamento 235'!P18+'Faturamento Itaipu'!L16+'Faturamento Icaraí'!P16+'Faturamento Laura Jardim'!L5</f>
        <v>6448.467662</v>
      </c>
      <c r="E37" s="11"/>
      <c r="F37" s="11">
        <v>300</v>
      </c>
      <c r="G37" s="11"/>
      <c r="H37" s="11">
        <v>754</v>
      </c>
      <c r="I37" s="11">
        <f t="shared" si="19"/>
        <v>386.90805971999998</v>
      </c>
      <c r="J37" s="11">
        <f t="shared" si="2"/>
        <v>8645.240341349785</v>
      </c>
      <c r="K37" s="11">
        <f>Financiamento!D46</f>
        <v>5722.3415562411856</v>
      </c>
      <c r="L37" s="11">
        <f>Financiamento!C46</f>
        <v>2922.8987851085994</v>
      </c>
      <c r="M37" s="11"/>
      <c r="N37" s="11"/>
      <c r="P37" s="11">
        <f t="shared" si="3"/>
        <v>6448.467662</v>
      </c>
      <c r="Q37" s="11">
        <f t="shared" si="4"/>
        <v>-1054</v>
      </c>
      <c r="R37" s="11">
        <f t="shared" si="5"/>
        <v>5394.467662</v>
      </c>
      <c r="S37" s="11"/>
      <c r="T37" s="11">
        <f t="shared" si="6"/>
        <v>5394.467662</v>
      </c>
      <c r="U37" s="11">
        <f t="shared" si="7"/>
        <v>-2922.8987851085994</v>
      </c>
      <c r="V37" s="11">
        <f t="shared" si="8"/>
        <v>2471.5688768914006</v>
      </c>
      <c r="W37" s="11">
        <f t="shared" si="9"/>
        <v>-386.90805971999998</v>
      </c>
      <c r="X37" s="11">
        <f t="shared" si="10"/>
        <v>2084.6608171714006</v>
      </c>
      <c r="Z37" s="11">
        <f t="shared" si="11"/>
        <v>5394.467662</v>
      </c>
      <c r="AA37" s="11">
        <f t="shared" si="12"/>
        <v>-386.90805971999998</v>
      </c>
      <c r="AB37" s="11">
        <f t="shared" si="13"/>
        <v>0</v>
      </c>
      <c r="AC37" s="11">
        <f t="shared" si="14"/>
        <v>0</v>
      </c>
      <c r="AD37" s="11">
        <f t="shared" si="15"/>
        <v>-8645.240341349785</v>
      </c>
      <c r="AE37" s="11">
        <f t="shared" si="16"/>
        <v>-3637.680739069785</v>
      </c>
      <c r="AF37" s="11">
        <f t="shared" si="18"/>
        <v>-233459.32447441088</v>
      </c>
      <c r="AG37" s="11">
        <f t="shared" si="17"/>
        <v>-237097.00521348068</v>
      </c>
    </row>
    <row r="38" spans="1:33" ht="15.75" customHeight="1" x14ac:dyDescent="0.35">
      <c r="A38" s="5">
        <f t="shared" si="0"/>
        <v>2024</v>
      </c>
      <c r="B38" s="5" t="str">
        <f t="shared" si="1"/>
        <v>Q2</v>
      </c>
      <c r="C38" s="10">
        <v>45444</v>
      </c>
      <c r="D38" s="11">
        <f>'Faturamento 235'!P19+'Faturamento Itaipu'!L17+'Faturamento Icaraí'!P17+'Faturamento Laura Jardim'!L6</f>
        <v>4421.3114569999998</v>
      </c>
      <c r="E38" s="11"/>
      <c r="F38" s="11">
        <v>300</v>
      </c>
      <c r="G38" s="11"/>
      <c r="H38" s="11"/>
      <c r="I38" s="11">
        <f t="shared" si="19"/>
        <v>265.27868741999998</v>
      </c>
      <c r="J38" s="11">
        <f t="shared" si="2"/>
        <v>8645.240341349785</v>
      </c>
      <c r="K38" s="11">
        <f>Financiamento!D47</f>
        <v>5810.4656162072997</v>
      </c>
      <c r="L38" s="11">
        <f>Financiamento!C47</f>
        <v>2834.7747251424853</v>
      </c>
      <c r="M38" s="11"/>
      <c r="N38" s="11"/>
      <c r="P38" s="11">
        <f t="shared" si="3"/>
        <v>4421.3114569999998</v>
      </c>
      <c r="Q38" s="11">
        <f t="shared" si="4"/>
        <v>-300</v>
      </c>
      <c r="R38" s="11">
        <f t="shared" si="5"/>
        <v>4121.3114569999998</v>
      </c>
      <c r="S38" s="11"/>
      <c r="T38" s="11">
        <f t="shared" si="6"/>
        <v>4121.3114569999998</v>
      </c>
      <c r="U38" s="11">
        <f t="shared" si="7"/>
        <v>-2834.7747251424853</v>
      </c>
      <c r="V38" s="11">
        <f t="shared" si="8"/>
        <v>1286.5367318575145</v>
      </c>
      <c r="W38" s="11">
        <f t="shared" si="9"/>
        <v>-265.27868741999998</v>
      </c>
      <c r="X38" s="11">
        <f t="shared" si="10"/>
        <v>1021.2580444375145</v>
      </c>
      <c r="Z38" s="11">
        <f t="shared" si="11"/>
        <v>4121.3114569999998</v>
      </c>
      <c r="AA38" s="11">
        <f t="shared" si="12"/>
        <v>-265.27868741999998</v>
      </c>
      <c r="AB38" s="11">
        <f t="shared" si="13"/>
        <v>0</v>
      </c>
      <c r="AC38" s="11">
        <f t="shared" si="14"/>
        <v>0</v>
      </c>
      <c r="AD38" s="11">
        <f t="shared" si="15"/>
        <v>-8645.240341349785</v>
      </c>
      <c r="AE38" s="11">
        <f t="shared" si="16"/>
        <v>-4789.2075717697853</v>
      </c>
      <c r="AF38" s="11">
        <f t="shared" si="18"/>
        <v>-237097.00521348068</v>
      </c>
      <c r="AG38" s="11">
        <f t="shared" si="17"/>
        <v>-241886.21278525045</v>
      </c>
    </row>
    <row r="39" spans="1:33" ht="15.75" customHeight="1" x14ac:dyDescent="0.35">
      <c r="A39" s="5">
        <f t="shared" si="0"/>
        <v>2024</v>
      </c>
      <c r="B39" s="5" t="str">
        <f t="shared" si="1"/>
        <v>Q3</v>
      </c>
      <c r="C39" s="10">
        <v>45474</v>
      </c>
      <c r="D39" s="11">
        <f>'Faturamento 235'!P20+'Faturamento Itaipu'!L18+'Faturamento Icaraí'!P18+'Faturamento Laura Jardim'!L7</f>
        <v>3192.3306480000001</v>
      </c>
      <c r="E39" s="11"/>
      <c r="F39" s="11">
        <v>300</v>
      </c>
      <c r="G39" s="11"/>
      <c r="H39" s="11"/>
      <c r="I39" s="11">
        <f t="shared" si="19"/>
        <v>191.53983887999999</v>
      </c>
      <c r="J39" s="11">
        <f t="shared" si="2"/>
        <v>8645.240341349785</v>
      </c>
      <c r="K39" s="11">
        <f>Financiamento!D48</f>
        <v>5899.9467866968916</v>
      </c>
      <c r="L39" s="11">
        <f>Financiamento!C48</f>
        <v>2745.2935546528929</v>
      </c>
      <c r="M39" s="11"/>
      <c r="N39" s="11"/>
      <c r="P39" s="11">
        <f t="shared" si="3"/>
        <v>3192.3306480000001</v>
      </c>
      <c r="Q39" s="11">
        <f t="shared" si="4"/>
        <v>-300</v>
      </c>
      <c r="R39" s="11">
        <f t="shared" si="5"/>
        <v>2892.3306480000001</v>
      </c>
      <c r="S39" s="11"/>
      <c r="T39" s="11">
        <f t="shared" si="6"/>
        <v>2892.3306480000001</v>
      </c>
      <c r="U39" s="11">
        <f t="shared" si="7"/>
        <v>-2745.2935546528929</v>
      </c>
      <c r="V39" s="11">
        <f t="shared" si="8"/>
        <v>147.0370933471072</v>
      </c>
      <c r="W39" s="11">
        <f t="shared" si="9"/>
        <v>-191.53983887999999</v>
      </c>
      <c r="X39" s="11">
        <f t="shared" si="10"/>
        <v>-44.502745532892789</v>
      </c>
      <c r="Z39" s="11">
        <f t="shared" si="11"/>
        <v>2892.3306480000001</v>
      </c>
      <c r="AA39" s="11">
        <f t="shared" si="12"/>
        <v>-191.53983887999999</v>
      </c>
      <c r="AB39" s="11">
        <f t="shared" si="13"/>
        <v>0</v>
      </c>
      <c r="AC39" s="11">
        <f t="shared" si="14"/>
        <v>0</v>
      </c>
      <c r="AD39" s="11">
        <f t="shared" si="15"/>
        <v>-8645.240341349785</v>
      </c>
      <c r="AE39" s="11">
        <f t="shared" si="16"/>
        <v>-5944.4495322297844</v>
      </c>
      <c r="AF39" s="11">
        <f t="shared" si="18"/>
        <v>-241886.21278525045</v>
      </c>
      <c r="AG39" s="11">
        <f t="shared" si="17"/>
        <v>-247830.66231748022</v>
      </c>
    </row>
    <row r="40" spans="1:33" ht="15.75" customHeight="1" x14ac:dyDescent="0.35">
      <c r="A40" s="5">
        <f t="shared" si="0"/>
        <v>2024</v>
      </c>
      <c r="B40" s="5" t="str">
        <f t="shared" si="1"/>
        <v>Q3</v>
      </c>
      <c r="C40" s="10">
        <v>45505</v>
      </c>
      <c r="D40" s="11">
        <f>'Faturamento 235'!P21+'Faturamento Itaipu'!L19+'Faturamento Icaraí'!P19+'Faturamento Laura Jardim'!L8+'Faturamento Essencial'!L4</f>
        <v>4415.5446909999982</v>
      </c>
      <c r="E40" s="11"/>
      <c r="F40" s="11">
        <v>300</v>
      </c>
      <c r="G40" s="11"/>
      <c r="H40" s="11"/>
      <c r="I40" s="11">
        <f t="shared" si="19"/>
        <v>264.93268145999991</v>
      </c>
      <c r="J40" s="11">
        <f t="shared" si="2"/>
        <v>8645.240341349785</v>
      </c>
      <c r="K40" s="11">
        <f>Financiamento!D49</f>
        <v>5990.8059672120253</v>
      </c>
      <c r="L40" s="11">
        <f>Financiamento!C49</f>
        <v>2654.4343741377602</v>
      </c>
      <c r="M40" s="11"/>
      <c r="N40" s="11"/>
      <c r="P40" s="11">
        <f t="shared" si="3"/>
        <v>4415.5446909999982</v>
      </c>
      <c r="Q40" s="11">
        <f t="shared" si="4"/>
        <v>-300</v>
      </c>
      <c r="R40" s="11">
        <f t="shared" si="5"/>
        <v>4115.5446909999982</v>
      </c>
      <c r="S40" s="11"/>
      <c r="T40" s="11">
        <f t="shared" si="6"/>
        <v>4115.5446909999982</v>
      </c>
      <c r="U40" s="11">
        <f t="shared" si="7"/>
        <v>-2654.4343741377602</v>
      </c>
      <c r="V40" s="11">
        <f t="shared" si="8"/>
        <v>1461.1103168622381</v>
      </c>
      <c r="W40" s="11">
        <f t="shared" si="9"/>
        <v>-264.93268145999991</v>
      </c>
      <c r="X40" s="11">
        <f t="shared" si="10"/>
        <v>1196.1776354022381</v>
      </c>
      <c r="Z40" s="11">
        <f t="shared" si="11"/>
        <v>4115.5446909999982</v>
      </c>
      <c r="AA40" s="11">
        <f t="shared" si="12"/>
        <v>-264.93268145999991</v>
      </c>
      <c r="AB40" s="11">
        <f t="shared" si="13"/>
        <v>0</v>
      </c>
      <c r="AC40" s="11">
        <f t="shared" si="14"/>
        <v>0</v>
      </c>
      <c r="AD40" s="11">
        <f t="shared" si="15"/>
        <v>-8645.240341349785</v>
      </c>
      <c r="AE40" s="11">
        <f t="shared" si="16"/>
        <v>-4794.6283318097867</v>
      </c>
      <c r="AF40" s="11">
        <f t="shared" si="18"/>
        <v>-247830.66231748022</v>
      </c>
      <c r="AG40" s="11">
        <f t="shared" si="17"/>
        <v>-252625.29064929002</v>
      </c>
    </row>
    <row r="41" spans="1:33" ht="15.75" customHeight="1" x14ac:dyDescent="0.35">
      <c r="A41" s="5">
        <f t="shared" si="0"/>
        <v>2024</v>
      </c>
      <c r="B41" s="5" t="str">
        <f t="shared" si="1"/>
        <v>Q3</v>
      </c>
      <c r="C41" s="10">
        <v>45536</v>
      </c>
      <c r="D41" s="11">
        <f>'Faturamento 235'!P22+'Faturamento Itaipu'!L20+'Faturamento Icaraí'!P20+'Faturamento Laura Jardim'!L9+'Faturamento Essencial'!L5</f>
        <v>6035.7282400000004</v>
      </c>
      <c r="E41" s="11"/>
      <c r="F41" s="11">
        <v>300</v>
      </c>
      <c r="G41" s="11"/>
      <c r="H41" s="11"/>
      <c r="I41" s="11">
        <f t="shared" si="19"/>
        <v>362.14369440000002</v>
      </c>
      <c r="J41" s="11">
        <f t="shared" si="2"/>
        <v>8645.240341349785</v>
      </c>
      <c r="K41" s="11">
        <f>Financiamento!D50</f>
        <v>6083.0643791070897</v>
      </c>
      <c r="L41" s="11">
        <f>Financiamento!C50</f>
        <v>2562.1759622426953</v>
      </c>
      <c r="M41" s="11"/>
      <c r="N41" s="11"/>
      <c r="P41" s="11">
        <f t="shared" si="3"/>
        <v>6035.7282400000004</v>
      </c>
      <c r="Q41" s="11">
        <f t="shared" si="4"/>
        <v>-300</v>
      </c>
      <c r="R41" s="11">
        <f t="shared" si="5"/>
        <v>5735.7282400000004</v>
      </c>
      <c r="S41" s="11"/>
      <c r="T41" s="11">
        <f t="shared" si="6"/>
        <v>5735.7282400000004</v>
      </c>
      <c r="U41" s="11">
        <f t="shared" si="7"/>
        <v>-2562.1759622426953</v>
      </c>
      <c r="V41" s="11">
        <f t="shared" si="8"/>
        <v>3173.5522777573051</v>
      </c>
      <c r="W41" s="11">
        <f t="shared" si="9"/>
        <v>-362.14369440000002</v>
      </c>
      <c r="X41" s="11">
        <f t="shared" si="10"/>
        <v>2811.4085833573049</v>
      </c>
      <c r="Z41" s="11">
        <f t="shared" si="11"/>
        <v>5735.7282400000004</v>
      </c>
      <c r="AA41" s="11">
        <f t="shared" si="12"/>
        <v>-362.14369440000002</v>
      </c>
      <c r="AB41" s="11">
        <f t="shared" si="13"/>
        <v>0</v>
      </c>
      <c r="AC41" s="11">
        <f t="shared" si="14"/>
        <v>0</v>
      </c>
      <c r="AD41" s="11">
        <f t="shared" si="15"/>
        <v>-8645.240341349785</v>
      </c>
      <c r="AE41" s="11">
        <f t="shared" si="16"/>
        <v>-3271.6557957497844</v>
      </c>
      <c r="AF41" s="11">
        <f t="shared" si="18"/>
        <v>-252625.29064929002</v>
      </c>
      <c r="AG41" s="11">
        <f t="shared" si="17"/>
        <v>-255896.94644503979</v>
      </c>
    </row>
    <row r="42" spans="1:33" ht="15.75" customHeight="1" x14ac:dyDescent="0.35">
      <c r="A42" s="5">
        <f t="shared" si="0"/>
        <v>2024</v>
      </c>
      <c r="B42" s="5" t="str">
        <f t="shared" si="1"/>
        <v>Q4</v>
      </c>
      <c r="C42" s="10">
        <v>45566</v>
      </c>
      <c r="D42" s="11">
        <f>'Faturamento 235'!P23+'Faturamento Itaipu'!L21+'Faturamento Icaraí'!P21+'Faturamento Laura Jardim'!L10+'Faturamento Essencial'!L6</f>
        <v>5693.162728000003</v>
      </c>
      <c r="E42" s="11"/>
      <c r="F42" s="11">
        <v>300</v>
      </c>
      <c r="G42" s="11"/>
      <c r="H42" s="11"/>
      <c r="I42" s="11">
        <f t="shared" si="19"/>
        <v>341.58976368000015</v>
      </c>
      <c r="J42" s="11">
        <f t="shared" si="2"/>
        <v>8645.240341349785</v>
      </c>
      <c r="K42" s="11">
        <f>Financiamento!D51</f>
        <v>6176.743570545339</v>
      </c>
      <c r="L42" s="11">
        <f>Financiamento!C51</f>
        <v>2468.496770804446</v>
      </c>
      <c r="M42" s="11"/>
      <c r="N42" s="11"/>
      <c r="P42" s="11">
        <f t="shared" si="3"/>
        <v>5693.162728000003</v>
      </c>
      <c r="Q42" s="11">
        <f t="shared" si="4"/>
        <v>-300</v>
      </c>
      <c r="R42" s="11">
        <f t="shared" si="5"/>
        <v>5393.162728000003</v>
      </c>
      <c r="S42" s="11"/>
      <c r="T42" s="11">
        <f t="shared" si="6"/>
        <v>5393.162728000003</v>
      </c>
      <c r="U42" s="11">
        <f t="shared" si="7"/>
        <v>-2468.496770804446</v>
      </c>
      <c r="V42" s="11">
        <f t="shared" si="8"/>
        <v>2924.665957195557</v>
      </c>
      <c r="W42" s="11">
        <f t="shared" si="9"/>
        <v>-341.58976368000015</v>
      </c>
      <c r="X42" s="11">
        <f t="shared" si="10"/>
        <v>2583.076193515557</v>
      </c>
      <c r="Z42" s="11">
        <f t="shared" si="11"/>
        <v>5393.162728000003</v>
      </c>
      <c r="AA42" s="11">
        <f t="shared" si="12"/>
        <v>-341.58976368000015</v>
      </c>
      <c r="AB42" s="11">
        <f t="shared" si="13"/>
        <v>0</v>
      </c>
      <c r="AC42" s="11">
        <f t="shared" si="14"/>
        <v>0</v>
      </c>
      <c r="AD42" s="11">
        <f t="shared" si="15"/>
        <v>-8645.240341349785</v>
      </c>
      <c r="AE42" s="11">
        <f t="shared" si="16"/>
        <v>-3593.6673770297821</v>
      </c>
      <c r="AF42" s="11">
        <f t="shared" si="18"/>
        <v>-255896.94644503979</v>
      </c>
      <c r="AG42" s="11">
        <f t="shared" si="17"/>
        <v>-259490.61382206957</v>
      </c>
    </row>
    <row r="43" spans="1:33" ht="15.75" customHeight="1" x14ac:dyDescent="0.35">
      <c r="A43" s="5">
        <f t="shared" si="0"/>
        <v>2024</v>
      </c>
      <c r="B43" s="5" t="str">
        <f t="shared" si="1"/>
        <v>Q4</v>
      </c>
      <c r="C43" s="10">
        <v>45597</v>
      </c>
      <c r="D43" s="11">
        <f>'Faturamento 235'!P24+'Faturamento Itaipu'!L22+'Faturamento Icaraí'!P22+'Faturamento Laura Jardim'!L11+'Faturamento Essencial'!L7+'Faturamento 281'!N24</f>
        <v>8410.528198</v>
      </c>
      <c r="E43" s="11"/>
      <c r="F43" s="11">
        <v>300</v>
      </c>
      <c r="G43" s="11"/>
      <c r="H43" s="11"/>
      <c r="I43" s="11">
        <f t="shared" si="19"/>
        <v>504.63169188000001</v>
      </c>
      <c r="J43" s="11">
        <f t="shared" si="2"/>
        <v>8645.240341349785</v>
      </c>
      <c r="K43" s="11">
        <f>Financiamento!D52</f>
        <v>6271.8654215317365</v>
      </c>
      <c r="L43" s="11">
        <f>Financiamento!C52</f>
        <v>2373.3749198180481</v>
      </c>
      <c r="M43" s="11"/>
      <c r="N43" s="11"/>
      <c r="P43" s="11">
        <f t="shared" si="3"/>
        <v>8410.528198</v>
      </c>
      <c r="Q43" s="11">
        <f t="shared" si="4"/>
        <v>-300</v>
      </c>
      <c r="R43" s="11">
        <f t="shared" si="5"/>
        <v>8110.528198</v>
      </c>
      <c r="S43" s="11"/>
      <c r="T43" s="11">
        <f t="shared" si="6"/>
        <v>8110.528198</v>
      </c>
      <c r="U43" s="11">
        <f t="shared" si="7"/>
        <v>-2373.3749198180481</v>
      </c>
      <c r="V43" s="11">
        <f t="shared" si="8"/>
        <v>5737.1532781819515</v>
      </c>
      <c r="W43" s="11">
        <f t="shared" si="9"/>
        <v>-504.63169188000001</v>
      </c>
      <c r="X43" s="11">
        <f t="shared" si="10"/>
        <v>5232.5215863019512</v>
      </c>
      <c r="Z43" s="11">
        <f t="shared" si="11"/>
        <v>8110.528198</v>
      </c>
      <c r="AA43" s="11">
        <f t="shared" si="12"/>
        <v>-504.63169188000001</v>
      </c>
      <c r="AB43" s="11">
        <f t="shared" si="13"/>
        <v>0</v>
      </c>
      <c r="AC43" s="11">
        <f t="shared" si="14"/>
        <v>0</v>
      </c>
      <c r="AD43" s="11">
        <f t="shared" si="15"/>
        <v>-8645.240341349785</v>
      </c>
      <c r="AE43" s="11">
        <f t="shared" si="16"/>
        <v>-1039.3438352297853</v>
      </c>
      <c r="AF43" s="11">
        <f t="shared" si="18"/>
        <v>-259490.61382206957</v>
      </c>
      <c r="AG43" s="11">
        <f t="shared" si="17"/>
        <v>-260529.95765729935</v>
      </c>
    </row>
    <row r="44" spans="1:33" ht="15.75" customHeight="1" x14ac:dyDescent="0.35">
      <c r="A44" s="5">
        <f t="shared" si="0"/>
        <v>2024</v>
      </c>
      <c r="B44" s="5" t="str">
        <f t="shared" si="1"/>
        <v>Q4</v>
      </c>
      <c r="C44" s="10">
        <v>45627</v>
      </c>
      <c r="D44" s="11">
        <f>'Faturamento 235'!P25+'Faturamento Itaipu'!L23+'Faturamento Icaraí'!P23+'Faturamento Laura Jardim'!L12+'Faturamento Essencial'!L8+'Faturamento 281'!N25</f>
        <v>6666.4636330000003</v>
      </c>
      <c r="E44" s="11"/>
      <c r="F44" s="11">
        <v>300</v>
      </c>
      <c r="G44" s="11"/>
      <c r="H44" s="11"/>
      <c r="I44" s="11">
        <f t="shared" si="19"/>
        <v>399.98781797999999</v>
      </c>
      <c r="J44" s="11">
        <f t="shared" si="2"/>
        <v>8645.240341349785</v>
      </c>
      <c r="K44" s="11">
        <f>Financiamento!D53</f>
        <v>6368.4521490233255</v>
      </c>
      <c r="L44" s="11">
        <f>Financiamento!C53</f>
        <v>2276.7881923264595</v>
      </c>
      <c r="M44" s="11"/>
      <c r="N44" s="11"/>
      <c r="P44" s="11">
        <f t="shared" si="3"/>
        <v>6666.4636330000003</v>
      </c>
      <c r="Q44" s="11">
        <f t="shared" si="4"/>
        <v>-300</v>
      </c>
      <c r="R44" s="11">
        <f t="shared" si="5"/>
        <v>6366.4636330000003</v>
      </c>
      <c r="S44" s="11"/>
      <c r="T44" s="11">
        <f t="shared" si="6"/>
        <v>6366.4636330000003</v>
      </c>
      <c r="U44" s="11">
        <f t="shared" si="7"/>
        <v>-2276.7881923264595</v>
      </c>
      <c r="V44" s="11">
        <f t="shared" si="8"/>
        <v>4089.6754406735408</v>
      </c>
      <c r="W44" s="11">
        <f t="shared" si="9"/>
        <v>-399.98781797999999</v>
      </c>
      <c r="X44" s="11">
        <f t="shared" si="10"/>
        <v>3689.687622693541</v>
      </c>
      <c r="Z44" s="11">
        <f t="shared" si="11"/>
        <v>6366.4636330000003</v>
      </c>
      <c r="AA44" s="11">
        <f t="shared" si="12"/>
        <v>-399.98781797999999</v>
      </c>
      <c r="AB44" s="11">
        <f t="shared" si="13"/>
        <v>0</v>
      </c>
      <c r="AC44" s="11">
        <f t="shared" si="14"/>
        <v>0</v>
      </c>
      <c r="AD44" s="11">
        <f t="shared" si="15"/>
        <v>-8645.240341349785</v>
      </c>
      <c r="AE44" s="11">
        <f t="shared" si="16"/>
        <v>-2678.7645263297845</v>
      </c>
      <c r="AF44" s="11">
        <f t="shared" si="18"/>
        <v>-260529.95765729935</v>
      </c>
      <c r="AG44" s="11">
        <f t="shared" si="17"/>
        <v>-263208.72218362911</v>
      </c>
    </row>
    <row r="45" spans="1:33" ht="15.75" customHeight="1" x14ac:dyDescent="0.35">
      <c r="A45" s="5">
        <f t="shared" si="0"/>
        <v>2025</v>
      </c>
      <c r="B45" s="5" t="str">
        <f t="shared" si="1"/>
        <v>Q1</v>
      </c>
      <c r="C45" s="10">
        <v>45658</v>
      </c>
      <c r="D45" s="11">
        <f>'Faturamento 235'!P26+'Faturamento Itaipu'!L24+'Faturamento Icaraí'!P24+'Faturamento Laura Jardim'!L13+'Faturamento Essencial'!L9+'Faturamento 281'!N26</f>
        <v>7369.655185999999</v>
      </c>
      <c r="E45" s="11"/>
      <c r="F45" s="11">
        <v>300</v>
      </c>
      <c r="G45" s="11"/>
      <c r="H45" s="11"/>
      <c r="I45" s="11">
        <f t="shared" si="19"/>
        <v>442.17931115999994</v>
      </c>
      <c r="J45" s="11">
        <f t="shared" si="2"/>
        <v>8645.240341349785</v>
      </c>
      <c r="K45" s="11">
        <f>Financiamento!D54</f>
        <v>6466.5263121182852</v>
      </c>
      <c r="L45" s="11">
        <f>Financiamento!C54</f>
        <v>2178.7140292315003</v>
      </c>
      <c r="M45" s="11"/>
      <c r="N45" s="11"/>
      <c r="P45" s="11">
        <f t="shared" si="3"/>
        <v>7369.655185999999</v>
      </c>
      <c r="Q45" s="11">
        <f t="shared" si="4"/>
        <v>-300</v>
      </c>
      <c r="R45" s="11">
        <f t="shared" si="5"/>
        <v>7069.655185999999</v>
      </c>
      <c r="S45" s="11"/>
      <c r="T45" s="11">
        <f t="shared" si="6"/>
        <v>7069.655185999999</v>
      </c>
      <c r="U45" s="11">
        <f t="shared" si="7"/>
        <v>-2178.7140292315003</v>
      </c>
      <c r="V45" s="11">
        <f t="shared" si="8"/>
        <v>4890.9411567684983</v>
      </c>
      <c r="W45" s="11">
        <f t="shared" si="9"/>
        <v>-442.17931115999994</v>
      </c>
      <c r="X45" s="11">
        <f t="shared" si="10"/>
        <v>4448.7618456084983</v>
      </c>
      <c r="Z45" s="11">
        <f t="shared" si="11"/>
        <v>7069.655185999999</v>
      </c>
      <c r="AA45" s="11">
        <f t="shared" si="12"/>
        <v>-442.17931115999994</v>
      </c>
      <c r="AB45" s="11">
        <f t="shared" si="13"/>
        <v>0</v>
      </c>
      <c r="AC45" s="11">
        <f t="shared" si="14"/>
        <v>0</v>
      </c>
      <c r="AD45" s="11">
        <f t="shared" si="15"/>
        <v>-8645.240341349785</v>
      </c>
      <c r="AE45" s="11">
        <f t="shared" si="16"/>
        <v>-2017.764466509786</v>
      </c>
      <c r="AF45" s="11">
        <f t="shared" si="18"/>
        <v>-263208.72218362911</v>
      </c>
      <c r="AG45" s="11">
        <f t="shared" si="17"/>
        <v>-265226.48665013892</v>
      </c>
    </row>
    <row r="46" spans="1:33" ht="15.75" customHeight="1" x14ac:dyDescent="0.35">
      <c r="A46" s="5">
        <f t="shared" si="0"/>
        <v>2025</v>
      </c>
      <c r="B46" s="5" t="str">
        <f t="shared" si="1"/>
        <v>Q1</v>
      </c>
      <c r="C46" s="10">
        <v>45689</v>
      </c>
      <c r="D46" s="11">
        <f>'Faturamento 235'!P27+'Faturamento Itaipu'!L25+'Faturamento Icaraí'!P25+'Faturamento Laura Jardim'!L14+'Faturamento Essencial'!L10+'Faturamento 281'!N27</f>
        <v>9711.5084924736839</v>
      </c>
      <c r="E46" s="11"/>
      <c r="F46" s="11">
        <v>300</v>
      </c>
      <c r="G46" s="11"/>
      <c r="H46" s="11"/>
      <c r="I46" s="11">
        <f t="shared" si="19"/>
        <v>582.69050954842101</v>
      </c>
      <c r="J46" s="11">
        <f t="shared" si="2"/>
        <v>8645.240341349785</v>
      </c>
      <c r="K46" s="11">
        <f>Financiamento!D55</f>
        <v>6566.1108173249067</v>
      </c>
      <c r="L46" s="11">
        <f>Financiamento!C55</f>
        <v>2079.1295240248787</v>
      </c>
      <c r="M46" s="11"/>
      <c r="N46" s="11"/>
      <c r="P46" s="11">
        <f t="shared" si="3"/>
        <v>9711.5084924736839</v>
      </c>
      <c r="Q46" s="11">
        <f t="shared" si="4"/>
        <v>-300</v>
      </c>
      <c r="R46" s="11">
        <f t="shared" si="5"/>
        <v>9411.5084924736839</v>
      </c>
      <c r="S46" s="11"/>
      <c r="T46" s="11">
        <f t="shared" si="6"/>
        <v>9411.5084924736839</v>
      </c>
      <c r="U46" s="11">
        <f t="shared" si="7"/>
        <v>-2079.1295240248787</v>
      </c>
      <c r="V46" s="11">
        <f t="shared" si="8"/>
        <v>7332.3789684488056</v>
      </c>
      <c r="W46" s="11">
        <f t="shared" si="9"/>
        <v>-582.69050954842101</v>
      </c>
      <c r="X46" s="11">
        <f t="shared" si="10"/>
        <v>6749.6884589003848</v>
      </c>
      <c r="Z46" s="11">
        <f t="shared" si="11"/>
        <v>9411.5084924736839</v>
      </c>
      <c r="AA46" s="11">
        <f t="shared" si="12"/>
        <v>-582.69050954842101</v>
      </c>
      <c r="AB46" s="11">
        <f t="shared" si="13"/>
        <v>0</v>
      </c>
      <c r="AC46" s="11">
        <f t="shared" si="14"/>
        <v>0</v>
      </c>
      <c r="AD46" s="11">
        <f t="shared" si="15"/>
        <v>-8645.240341349785</v>
      </c>
      <c r="AE46" s="11">
        <f t="shared" si="16"/>
        <v>183.57764157547717</v>
      </c>
      <c r="AF46" s="11">
        <f t="shared" si="18"/>
        <v>-265226.48665013892</v>
      </c>
      <c r="AG46" s="11">
        <f t="shared" si="17"/>
        <v>-265042.90900856344</v>
      </c>
    </row>
    <row r="47" spans="1:33" ht="15.75" customHeight="1" x14ac:dyDescent="0.35">
      <c r="A47" s="5">
        <f t="shared" si="0"/>
        <v>2025</v>
      </c>
      <c r="B47" s="5" t="str">
        <f t="shared" si="1"/>
        <v>Q1</v>
      </c>
      <c r="C47" s="10">
        <v>45717</v>
      </c>
      <c r="D47" s="11">
        <f>'Faturamento 235'!P28+'Faturamento Itaipu'!L26+'Faturamento Icaraí'!P26+'Faturamento Laura Jardim'!L15+'Faturamento Essencial'!L11+'Faturamento 281'!N28</f>
        <v>8151.3257507593999</v>
      </c>
      <c r="E47" s="11"/>
      <c r="F47" s="11">
        <v>300</v>
      </c>
      <c r="G47" s="11"/>
      <c r="H47" s="11"/>
      <c r="I47" s="11">
        <f t="shared" si="19"/>
        <v>489.07954504556398</v>
      </c>
      <c r="J47" s="11">
        <f t="shared" si="2"/>
        <v>8645.240341349785</v>
      </c>
      <c r="K47" s="11">
        <f>Financiamento!D56</f>
        <v>6667.2289239117099</v>
      </c>
      <c r="L47" s="11">
        <f>Financiamento!C56</f>
        <v>1978.0114174380749</v>
      </c>
      <c r="M47" s="11"/>
      <c r="N47" s="11"/>
      <c r="P47" s="11">
        <f t="shared" si="3"/>
        <v>8151.3257507593999</v>
      </c>
      <c r="Q47" s="11">
        <f t="shared" si="4"/>
        <v>-300</v>
      </c>
      <c r="R47" s="11">
        <f t="shared" si="5"/>
        <v>7851.3257507593999</v>
      </c>
      <c r="S47" s="11"/>
      <c r="T47" s="11">
        <f t="shared" si="6"/>
        <v>7851.3257507593999</v>
      </c>
      <c r="U47" s="11">
        <f t="shared" si="7"/>
        <v>-1978.0114174380749</v>
      </c>
      <c r="V47" s="11">
        <f t="shared" si="8"/>
        <v>5873.3143333213247</v>
      </c>
      <c r="W47" s="11">
        <f t="shared" si="9"/>
        <v>-489.07954504556398</v>
      </c>
      <c r="X47" s="11">
        <f t="shared" si="10"/>
        <v>5384.2347882757604</v>
      </c>
      <c r="Z47" s="11">
        <f t="shared" si="11"/>
        <v>7851.3257507593999</v>
      </c>
      <c r="AA47" s="11">
        <f t="shared" si="12"/>
        <v>-489.07954504556398</v>
      </c>
      <c r="AB47" s="11">
        <f t="shared" si="13"/>
        <v>0</v>
      </c>
      <c r="AC47" s="11">
        <f t="shared" si="14"/>
        <v>0</v>
      </c>
      <c r="AD47" s="11">
        <f t="shared" si="15"/>
        <v>-8645.240341349785</v>
      </c>
      <c r="AE47" s="11">
        <f t="shared" si="16"/>
        <v>-1282.9941356359495</v>
      </c>
      <c r="AF47" s="11">
        <f t="shared" si="18"/>
        <v>-265042.90900856344</v>
      </c>
      <c r="AG47" s="11">
        <f t="shared" si="17"/>
        <v>-266325.9031441994</v>
      </c>
    </row>
    <row r="48" spans="1:33" ht="15.75" customHeight="1" x14ac:dyDescent="0.35">
      <c r="A48" s="5">
        <f t="shared" si="0"/>
        <v>2025</v>
      </c>
      <c r="B48" s="5" t="str">
        <f t="shared" si="1"/>
        <v>Q2</v>
      </c>
      <c r="C48" s="10">
        <v>45748</v>
      </c>
      <c r="D48" s="11">
        <f>'Faturamento 235'!P29+'Faturamento Itaipu'!L27+'Faturamento Icaraí'!P27+'Faturamento Laura Jardim'!L16+'Faturamento Essencial'!L12+'Faturamento 281'!N29</f>
        <v>4025.7988310000005</v>
      </c>
      <c r="E48" s="11"/>
      <c r="F48" s="11">
        <v>300</v>
      </c>
      <c r="G48" s="11"/>
      <c r="H48" s="11"/>
      <c r="I48" s="11">
        <f t="shared" si="19"/>
        <v>241.54792986000001</v>
      </c>
      <c r="J48" s="11">
        <f t="shared" si="2"/>
        <v>8645.240341349785</v>
      </c>
      <c r="K48" s="11">
        <f>Financiamento!D57</f>
        <v>6769.9042493399502</v>
      </c>
      <c r="L48" s="11">
        <f>Financiamento!C57</f>
        <v>1875.3360920098346</v>
      </c>
      <c r="M48" s="11"/>
      <c r="N48" s="11"/>
      <c r="P48" s="11">
        <f t="shared" si="3"/>
        <v>4025.7988310000005</v>
      </c>
      <c r="Q48" s="11">
        <f t="shared" si="4"/>
        <v>-300</v>
      </c>
      <c r="R48" s="11">
        <f t="shared" si="5"/>
        <v>3725.7988310000005</v>
      </c>
      <c r="S48" s="11"/>
      <c r="T48" s="11">
        <f t="shared" si="6"/>
        <v>3725.7988310000005</v>
      </c>
      <c r="U48" s="11">
        <f t="shared" si="7"/>
        <v>-1875.3360920098346</v>
      </c>
      <c r="V48" s="11">
        <f t="shared" si="8"/>
        <v>1850.4627389901659</v>
      </c>
      <c r="W48" s="11">
        <f t="shared" si="9"/>
        <v>-241.54792986000001</v>
      </c>
      <c r="X48" s="11">
        <f t="shared" si="10"/>
        <v>1608.9148091301658</v>
      </c>
      <c r="Z48" s="11">
        <f t="shared" si="11"/>
        <v>3725.7988310000005</v>
      </c>
      <c r="AA48" s="11">
        <f t="shared" si="12"/>
        <v>-241.54792986000001</v>
      </c>
      <c r="AB48" s="11">
        <f t="shared" si="13"/>
        <v>0</v>
      </c>
      <c r="AC48" s="11">
        <f t="shared" si="14"/>
        <v>0</v>
      </c>
      <c r="AD48" s="11">
        <f t="shared" si="15"/>
        <v>-8645.240341349785</v>
      </c>
      <c r="AE48" s="11">
        <f t="shared" si="16"/>
        <v>-5160.9894402097843</v>
      </c>
      <c r="AF48" s="11">
        <f t="shared" si="18"/>
        <v>-266325.9031441994</v>
      </c>
      <c r="AG48" s="11">
        <f t="shared" si="17"/>
        <v>-271486.89258440916</v>
      </c>
    </row>
    <row r="49" spans="1:34" ht="15.75" customHeight="1" x14ac:dyDescent="0.35">
      <c r="A49" s="5">
        <f t="shared" si="0"/>
        <v>2025</v>
      </c>
      <c r="B49" s="5" t="str">
        <f t="shared" si="1"/>
        <v>Q2</v>
      </c>
      <c r="C49" s="10">
        <v>45778</v>
      </c>
      <c r="D49" s="11">
        <f>'Faturamento 235'!P30+'Faturamento Itaipu'!L28+'Faturamento Icaraí'!P28+'Faturamento Laura Jardim'!L17+'Faturamento Essencial'!L13+'Faturamento 281'!N30</f>
        <v>5868.595908231513</v>
      </c>
      <c r="E49" s="11"/>
      <c r="F49" s="11">
        <v>300</v>
      </c>
      <c r="G49" s="11"/>
      <c r="H49" s="11"/>
      <c r="I49" s="11">
        <f t="shared" si="19"/>
        <v>352.11575449389079</v>
      </c>
      <c r="J49" s="11">
        <f t="shared" si="2"/>
        <v>8645.240341349785</v>
      </c>
      <c r="K49" s="11">
        <f>Financiamento!D58</f>
        <v>6874.1607747797852</v>
      </c>
      <c r="L49" s="11">
        <f>Financiamento!C58</f>
        <v>1771.0795665699995</v>
      </c>
      <c r="M49" s="11"/>
      <c r="N49" s="11"/>
      <c r="P49" s="11">
        <f t="shared" si="3"/>
        <v>5868.595908231513</v>
      </c>
      <c r="Q49" s="11">
        <f t="shared" si="4"/>
        <v>-300</v>
      </c>
      <c r="R49" s="11">
        <f t="shared" si="5"/>
        <v>5568.595908231513</v>
      </c>
      <c r="S49" s="11"/>
      <c r="T49" s="11">
        <f t="shared" si="6"/>
        <v>5568.595908231513</v>
      </c>
      <c r="U49" s="11">
        <f t="shared" si="7"/>
        <v>-1771.0795665699995</v>
      </c>
      <c r="V49" s="11">
        <f t="shared" si="8"/>
        <v>3797.5163416615133</v>
      </c>
      <c r="W49" s="11">
        <f t="shared" si="9"/>
        <v>-352.11575449389079</v>
      </c>
      <c r="X49" s="11">
        <f t="shared" si="10"/>
        <v>3445.4005871676227</v>
      </c>
      <c r="Z49" s="11">
        <f t="shared" si="11"/>
        <v>5568.595908231513</v>
      </c>
      <c r="AA49" s="11">
        <f t="shared" si="12"/>
        <v>-352.11575449389079</v>
      </c>
      <c r="AB49" s="11">
        <f t="shared" si="13"/>
        <v>0</v>
      </c>
      <c r="AC49" s="11">
        <f t="shared" si="14"/>
        <v>0</v>
      </c>
      <c r="AD49" s="11">
        <f t="shared" si="15"/>
        <v>-8645.240341349785</v>
      </c>
      <c r="AE49" s="11">
        <f t="shared" si="16"/>
        <v>-3428.7601876121626</v>
      </c>
      <c r="AF49" s="11">
        <f t="shared" si="18"/>
        <v>-271486.89258440916</v>
      </c>
      <c r="AG49" s="11">
        <f t="shared" si="17"/>
        <v>-274915.65277202131</v>
      </c>
    </row>
    <row r="50" spans="1:34" ht="15.75" customHeight="1" x14ac:dyDescent="0.35">
      <c r="A50" s="5">
        <f t="shared" si="0"/>
        <v>2025</v>
      </c>
      <c r="B50" s="5" t="str">
        <f t="shared" si="1"/>
        <v>Q2</v>
      </c>
      <c r="C50" s="10">
        <v>45809</v>
      </c>
      <c r="D50" s="11">
        <f>'Faturamento 235'!P31+'Faturamento Itaipu'!L29+'Faturamento Icaraí'!P29+'Faturamento Laura Jardim'!L18+'Faturamento Essencial'!L14+'Faturamento 281'!N31</f>
        <v>6262.4165578509783</v>
      </c>
      <c r="E50" s="11"/>
      <c r="F50" s="11">
        <v>300</v>
      </c>
      <c r="G50" s="11"/>
      <c r="H50" s="11"/>
      <c r="I50" s="11">
        <f t="shared" si="19"/>
        <v>375.74499347105871</v>
      </c>
      <c r="J50" s="11">
        <f t="shared" si="2"/>
        <v>8645.240341349785</v>
      </c>
      <c r="K50" s="11">
        <f>Financiamento!D59</f>
        <v>6980.0228507113943</v>
      </c>
      <c r="L50" s="11">
        <f>Financiamento!C59</f>
        <v>1665.2174906383907</v>
      </c>
      <c r="M50" s="11"/>
      <c r="N50" s="11"/>
      <c r="P50" s="11">
        <f t="shared" si="3"/>
        <v>6262.4165578509783</v>
      </c>
      <c r="Q50" s="11">
        <f t="shared" si="4"/>
        <v>-300</v>
      </c>
      <c r="R50" s="11">
        <f t="shared" si="5"/>
        <v>5962.4165578509783</v>
      </c>
      <c r="S50" s="11"/>
      <c r="T50" s="11">
        <f t="shared" si="6"/>
        <v>5962.4165578509783</v>
      </c>
      <c r="U50" s="11">
        <f t="shared" si="7"/>
        <v>-1665.2174906383907</v>
      </c>
      <c r="V50" s="11">
        <f t="shared" si="8"/>
        <v>4297.1990672125876</v>
      </c>
      <c r="W50" s="11">
        <f t="shared" si="9"/>
        <v>-375.74499347105871</v>
      </c>
      <c r="X50" s="11">
        <f t="shared" si="10"/>
        <v>3921.4540737415291</v>
      </c>
      <c r="Z50" s="11">
        <f t="shared" si="11"/>
        <v>5962.4165578509783</v>
      </c>
      <c r="AA50" s="11">
        <f t="shared" si="12"/>
        <v>-375.74499347105871</v>
      </c>
      <c r="AB50" s="11">
        <f t="shared" si="13"/>
        <v>0</v>
      </c>
      <c r="AC50" s="11">
        <f t="shared" si="14"/>
        <v>0</v>
      </c>
      <c r="AD50" s="11">
        <f t="shared" si="15"/>
        <v>-8645.240341349785</v>
      </c>
      <c r="AE50" s="11">
        <f t="shared" si="16"/>
        <v>-3058.5687769698652</v>
      </c>
      <c r="AF50" s="11">
        <f t="shared" si="18"/>
        <v>-274915.65277202131</v>
      </c>
      <c r="AG50" s="11">
        <f t="shared" si="17"/>
        <v>-277974.22154899116</v>
      </c>
    </row>
    <row r="51" spans="1:34" ht="15.75" customHeight="1" x14ac:dyDescent="0.35">
      <c r="A51" s="5">
        <f t="shared" si="0"/>
        <v>2025</v>
      </c>
      <c r="B51" s="5" t="str">
        <f t="shared" si="1"/>
        <v>Q3</v>
      </c>
      <c r="C51" s="10">
        <v>45839</v>
      </c>
      <c r="D51" s="11">
        <f>'Faturamento 235'!P32+'Faturamento Itaipu'!L30+'Faturamento Icaraí'!P30+'Faturamento Laura Jardim'!L19+'Faturamento Essencial'!L15+'Faturamento 281'!N32</f>
        <v>6013.1158572666654</v>
      </c>
      <c r="E51" s="11"/>
      <c r="F51" s="11">
        <v>300</v>
      </c>
      <c r="G51" s="11"/>
      <c r="H51" s="11"/>
      <c r="I51" s="11">
        <f t="shared" si="19"/>
        <v>360.78695143599992</v>
      </c>
      <c r="J51" s="11">
        <f t="shared" si="2"/>
        <v>8645.240341349785</v>
      </c>
      <c r="K51" s="11">
        <f>Financiamento!D60</f>
        <v>7087.5152026123496</v>
      </c>
      <c r="L51" s="11">
        <f>Financiamento!C60</f>
        <v>1557.7251387374354</v>
      </c>
      <c r="M51" s="11"/>
      <c r="N51" s="11"/>
      <c r="P51" s="11">
        <f t="shared" si="3"/>
        <v>6013.1158572666654</v>
      </c>
      <c r="Q51" s="11">
        <f t="shared" si="4"/>
        <v>-300</v>
      </c>
      <c r="R51" s="11">
        <f t="shared" si="5"/>
        <v>5713.1158572666654</v>
      </c>
      <c r="S51" s="11"/>
      <c r="T51" s="11">
        <f t="shared" si="6"/>
        <v>5713.1158572666654</v>
      </c>
      <c r="U51" s="11">
        <f t="shared" si="7"/>
        <v>-1557.7251387374354</v>
      </c>
      <c r="V51" s="11">
        <f t="shared" si="8"/>
        <v>4155.3907185292301</v>
      </c>
      <c r="W51" s="11">
        <f t="shared" si="9"/>
        <v>-360.78695143599992</v>
      </c>
      <c r="X51" s="11">
        <f t="shared" si="10"/>
        <v>3794.6037670932301</v>
      </c>
      <c r="Z51" s="11">
        <f t="shared" si="11"/>
        <v>5713.1158572666654</v>
      </c>
      <c r="AA51" s="11">
        <f t="shared" si="12"/>
        <v>-360.78695143599992</v>
      </c>
      <c r="AB51" s="11">
        <f t="shared" si="13"/>
        <v>0</v>
      </c>
      <c r="AC51" s="11">
        <f t="shared" si="14"/>
        <v>0</v>
      </c>
      <c r="AD51" s="11">
        <f t="shared" si="15"/>
        <v>-8645.240341349785</v>
      </c>
      <c r="AE51" s="11">
        <f t="shared" si="16"/>
        <v>-3292.9114355191196</v>
      </c>
      <c r="AF51" s="11">
        <f t="shared" si="18"/>
        <v>-277974.22154899116</v>
      </c>
      <c r="AG51" s="11">
        <f t="shared" si="17"/>
        <v>-281267.13298451027</v>
      </c>
    </row>
    <row r="52" spans="1:34" ht="15.75" customHeight="1" x14ac:dyDescent="0.35">
      <c r="A52" s="5">
        <f t="shared" si="0"/>
        <v>2025</v>
      </c>
      <c r="B52" s="5" t="str">
        <f t="shared" si="1"/>
        <v>Q3</v>
      </c>
      <c r="C52" s="10">
        <v>45870</v>
      </c>
      <c r="D52" s="11">
        <f>'Faturamento 235'!P33+'Faturamento Itaipu'!L31+'Faturamento Icaraí'!P31+'Faturamento Laura Jardim'!L20+'Faturamento Essencial'!L16+'Faturamento 281'!N33</f>
        <v>6234.2216865714281</v>
      </c>
      <c r="E52" s="11"/>
      <c r="F52" s="11">
        <v>300</v>
      </c>
      <c r="G52" s="11"/>
      <c r="H52" s="11"/>
      <c r="I52" s="11">
        <f t="shared" si="19"/>
        <v>374.05330119428567</v>
      </c>
      <c r="J52" s="11">
        <f t="shared" si="2"/>
        <v>8645.240341349785</v>
      </c>
      <c r="K52" s="11">
        <f>Financiamento!D61</f>
        <v>7196.6629367325804</v>
      </c>
      <c r="L52" s="11">
        <f>Financiamento!C61</f>
        <v>1448.577404617205</v>
      </c>
      <c r="M52" s="11"/>
      <c r="N52" s="11"/>
      <c r="P52" s="11">
        <f t="shared" si="3"/>
        <v>6234.2216865714281</v>
      </c>
      <c r="Q52" s="11">
        <f>-SUM(E51:H51)</f>
        <v>-300</v>
      </c>
      <c r="R52" s="11">
        <f t="shared" si="5"/>
        <v>5934.2216865714281</v>
      </c>
      <c r="S52" s="11"/>
      <c r="T52" s="11">
        <f t="shared" si="6"/>
        <v>5934.2216865714281</v>
      </c>
      <c r="U52" s="11">
        <f>-L51</f>
        <v>-1557.7251387374354</v>
      </c>
      <c r="V52" s="11">
        <f t="shared" si="8"/>
        <v>4376.4965478339927</v>
      </c>
      <c r="W52" s="11">
        <f>-I51</f>
        <v>-360.78695143599992</v>
      </c>
      <c r="X52" s="11">
        <f t="shared" si="10"/>
        <v>4015.7095963979928</v>
      </c>
      <c r="Z52" s="11">
        <f t="shared" si="11"/>
        <v>5934.2216865714281</v>
      </c>
      <c r="AA52" s="11">
        <f t="shared" si="12"/>
        <v>-360.78695143599992</v>
      </c>
      <c r="AB52" s="11">
        <f>-N51</f>
        <v>0</v>
      </c>
      <c r="AC52" s="11">
        <f t="shared" si="14"/>
        <v>0</v>
      </c>
      <c r="AD52" s="11">
        <f>-J51</f>
        <v>-8645.240341349785</v>
      </c>
      <c r="AE52" s="11">
        <f t="shared" si="16"/>
        <v>-3071.8056062143569</v>
      </c>
      <c r="AF52" s="11">
        <f t="shared" si="18"/>
        <v>-281267.13298451027</v>
      </c>
      <c r="AG52" s="11">
        <f t="shared" si="17"/>
        <v>-284338.9385907246</v>
      </c>
    </row>
    <row r="53" spans="1:34" ht="15.75" customHeight="1" x14ac:dyDescent="0.35">
      <c r="A53" s="5">
        <f t="shared" si="0"/>
        <v>2025</v>
      </c>
      <c r="B53" s="5" t="str">
        <f t="shared" si="1"/>
        <v>Q3</v>
      </c>
      <c r="C53" s="10">
        <v>45901</v>
      </c>
      <c r="D53" s="11">
        <f>'Faturamento 235'!P34+'Faturamento Itaipu'!L32+'Faturamento Icaraí'!P32+'Faturamento Laura Jardim'!L21+'Faturamento Essencial'!L17+'Faturamento 281'!N34</f>
        <v>9274.0665080571434</v>
      </c>
      <c r="E53" s="11"/>
      <c r="F53" s="11">
        <v>300</v>
      </c>
      <c r="G53" s="11"/>
      <c r="H53" s="11"/>
      <c r="I53" s="11">
        <f t="shared" si="19"/>
        <v>556.44399048342859</v>
      </c>
      <c r="J53" s="11">
        <f t="shared" si="2"/>
        <v>8645.240341349785</v>
      </c>
      <c r="K53" s="11">
        <f>Financiamento!D62</f>
        <v>7307.4915459582617</v>
      </c>
      <c r="L53" s="11">
        <f>Financiamento!C62</f>
        <v>1337.7487953915233</v>
      </c>
      <c r="M53" s="11"/>
      <c r="N53" s="11"/>
      <c r="P53" s="11">
        <f t="shared" si="3"/>
        <v>9274.0665080571434</v>
      </c>
      <c r="Q53" s="11">
        <f>-SUM(E51:H51)</f>
        <v>-300</v>
      </c>
      <c r="R53" s="11">
        <f t="shared" si="5"/>
        <v>8974.0665080571434</v>
      </c>
      <c r="S53" s="11"/>
      <c r="T53" s="11">
        <f t="shared" si="6"/>
        <v>8974.0665080571434</v>
      </c>
      <c r="U53" s="11">
        <f>-L51</f>
        <v>-1557.7251387374354</v>
      </c>
      <c r="V53" s="11">
        <f t="shared" si="8"/>
        <v>7416.3413693197081</v>
      </c>
      <c r="W53" s="11">
        <f>-I51</f>
        <v>-360.78695143599992</v>
      </c>
      <c r="X53" s="11">
        <f t="shared" si="10"/>
        <v>7055.5544178837081</v>
      </c>
      <c r="Z53" s="11">
        <f t="shared" si="11"/>
        <v>8974.0665080571434</v>
      </c>
      <c r="AA53" s="11">
        <f t="shared" si="12"/>
        <v>-360.78695143599992</v>
      </c>
      <c r="AB53" s="11">
        <f>-N51</f>
        <v>0</v>
      </c>
      <c r="AC53" s="11">
        <f t="shared" si="14"/>
        <v>0</v>
      </c>
      <c r="AD53" s="11">
        <f>-J51</f>
        <v>-8645.240341349785</v>
      </c>
      <c r="AE53" s="11">
        <f t="shared" si="16"/>
        <v>-31.960784728640647</v>
      </c>
      <c r="AF53" s="11">
        <f t="shared" si="18"/>
        <v>-284338.9385907246</v>
      </c>
      <c r="AG53" s="11">
        <f t="shared" si="17"/>
        <v>-284370.89937545324</v>
      </c>
      <c r="AH53" s="12"/>
    </row>
    <row r="54" spans="1:34" ht="15.75" customHeight="1" x14ac:dyDescent="0.35">
      <c r="A54" s="5">
        <f t="shared" si="0"/>
        <v>2025</v>
      </c>
      <c r="B54" s="5" t="str">
        <f t="shared" si="1"/>
        <v>Q4</v>
      </c>
      <c r="C54" s="10">
        <v>45931</v>
      </c>
      <c r="D54" s="11">
        <f>'Faturamento 235'!P35+'Faturamento Itaipu'!L33+'Faturamento Icaraí'!P33+'Faturamento Laura Jardim'!L22+'Faturamento Essencial'!L18+'Faturamento 281'!N35</f>
        <v>6975.2468614464278</v>
      </c>
      <c r="E54" s="11"/>
      <c r="F54" s="11">
        <v>300</v>
      </c>
      <c r="G54" s="11"/>
      <c r="H54" s="11"/>
      <c r="I54" s="11">
        <f t="shared" si="19"/>
        <v>418.51481168678566</v>
      </c>
      <c r="J54" s="11">
        <f t="shared" si="2"/>
        <v>8645.240341349785</v>
      </c>
      <c r="K54" s="11">
        <f>Financiamento!D63</f>
        <v>7420.0269157660186</v>
      </c>
      <c r="L54" s="11">
        <f>Financiamento!C63</f>
        <v>1225.2134255837661</v>
      </c>
      <c r="M54" s="11"/>
      <c r="N54" s="11"/>
      <c r="P54" s="11">
        <f t="shared" si="3"/>
        <v>6975.2468614464278</v>
      </c>
      <c r="Q54" s="11">
        <f>-SUM(E51:H51)</f>
        <v>-300</v>
      </c>
      <c r="R54" s="11">
        <f t="shared" si="5"/>
        <v>6675.2468614464278</v>
      </c>
      <c r="S54" s="11"/>
      <c r="T54" s="11">
        <f t="shared" si="6"/>
        <v>6675.2468614464278</v>
      </c>
      <c r="U54" s="11">
        <f>-L51</f>
        <v>-1557.7251387374354</v>
      </c>
      <c r="V54" s="11">
        <f t="shared" si="8"/>
        <v>5117.5217227089925</v>
      </c>
      <c r="W54" s="11">
        <f>-I51</f>
        <v>-360.78695143599992</v>
      </c>
      <c r="X54" s="11">
        <f t="shared" si="10"/>
        <v>4756.7347712729925</v>
      </c>
      <c r="Z54" s="11">
        <f t="shared" si="11"/>
        <v>6675.2468614464278</v>
      </c>
      <c r="AA54" s="11">
        <f t="shared" si="12"/>
        <v>-360.78695143599992</v>
      </c>
      <c r="AB54" s="11">
        <f>-N51</f>
        <v>0</v>
      </c>
      <c r="AC54" s="11">
        <f t="shared" si="14"/>
        <v>0</v>
      </c>
      <c r="AD54" s="11">
        <f>-J51</f>
        <v>-8645.240341349785</v>
      </c>
      <c r="AE54" s="11">
        <f t="shared" si="16"/>
        <v>-2330.7804313393572</v>
      </c>
      <c r="AF54" s="11">
        <f t="shared" si="18"/>
        <v>-284370.89937545324</v>
      </c>
      <c r="AG54" s="11">
        <f t="shared" si="17"/>
        <v>-286701.67980679258</v>
      </c>
    </row>
    <row r="55" spans="1:34" ht="15.75" customHeight="1" x14ac:dyDescent="0.35">
      <c r="A55" s="5">
        <f t="shared" si="0"/>
        <v>2025</v>
      </c>
      <c r="B55" s="5" t="str">
        <f t="shared" si="1"/>
        <v>Q4</v>
      </c>
      <c r="C55" s="10">
        <v>45962</v>
      </c>
      <c r="D55" s="11">
        <f>'Faturamento 235'!P36+'Faturamento Itaipu'!L34+'Faturamento Icaraí'!P34+'Faturamento Laura Jardim'!L23+'Faturamento Essencial'!L19+'Faturamento 281'!N36</f>
        <v>8258.9164528269212</v>
      </c>
      <c r="E55" s="11"/>
      <c r="F55" s="11">
        <v>300</v>
      </c>
      <c r="G55" s="11"/>
      <c r="H55" s="11"/>
      <c r="I55" s="11">
        <f t="shared" si="19"/>
        <v>495.53498716961525</v>
      </c>
      <c r="J55" s="11">
        <f t="shared" si="2"/>
        <v>8645.240341349785</v>
      </c>
      <c r="K55" s="11">
        <f>Financiamento!D64</f>
        <v>7534.2953302688156</v>
      </c>
      <c r="L55" s="11">
        <f>Financiamento!C64</f>
        <v>1110.9450110809694</v>
      </c>
      <c r="M55" s="11"/>
      <c r="N55" s="11"/>
      <c r="P55" s="11">
        <f t="shared" si="3"/>
        <v>8258.9164528269212</v>
      </c>
      <c r="Q55" s="11">
        <f>-SUM(E51:H51)</f>
        <v>-300</v>
      </c>
      <c r="R55" s="11">
        <f t="shared" si="5"/>
        <v>7958.9164528269212</v>
      </c>
      <c r="S55" s="11"/>
      <c r="T55" s="11">
        <f t="shared" si="6"/>
        <v>7958.9164528269212</v>
      </c>
      <c r="U55" s="11">
        <f>-L51</f>
        <v>-1557.7251387374354</v>
      </c>
      <c r="V55" s="11">
        <f t="shared" si="8"/>
        <v>6401.1913140894858</v>
      </c>
      <c r="W55" s="11">
        <f>-I51</f>
        <v>-360.78695143599992</v>
      </c>
      <c r="X55" s="11">
        <f t="shared" si="10"/>
        <v>6040.4043626534858</v>
      </c>
      <c r="Z55" s="11">
        <f t="shared" si="11"/>
        <v>7958.9164528269212</v>
      </c>
      <c r="AA55" s="11">
        <f t="shared" si="12"/>
        <v>-360.78695143599992</v>
      </c>
      <c r="AB55" s="11">
        <f>-N51</f>
        <v>0</v>
      </c>
      <c r="AC55" s="11">
        <f t="shared" si="14"/>
        <v>0</v>
      </c>
      <c r="AD55" s="11">
        <f>-J51</f>
        <v>-8645.240341349785</v>
      </c>
      <c r="AE55" s="11">
        <f t="shared" si="16"/>
        <v>-1047.1108399588638</v>
      </c>
      <c r="AF55" s="11">
        <f t="shared" si="18"/>
        <v>-286701.67980679258</v>
      </c>
      <c r="AG55" s="11">
        <f t="shared" si="17"/>
        <v>-287748.79064675147</v>
      </c>
    </row>
    <row r="56" spans="1:34" ht="15.75" customHeight="1" x14ac:dyDescent="0.35">
      <c r="A56" s="5">
        <f t="shared" si="0"/>
        <v>2025</v>
      </c>
      <c r="B56" s="5" t="str">
        <f t="shared" si="1"/>
        <v>Q4</v>
      </c>
      <c r="C56" s="10">
        <v>45992</v>
      </c>
      <c r="D56" s="11">
        <f>'Faturamento 235'!P37+'Faturamento Itaipu'!L35+'Faturamento Icaraí'!P35+'Faturamento Laura Jardim'!L24+'Faturamento Essencial'!L20+'Faturamento 281'!N37</f>
        <v>9620.5778876286458</v>
      </c>
      <c r="E56" s="11"/>
      <c r="F56" s="11">
        <v>300</v>
      </c>
      <c r="G56" s="11"/>
      <c r="H56" s="11"/>
      <c r="I56" s="11">
        <f t="shared" si="19"/>
        <v>577.23467325771878</v>
      </c>
      <c r="J56" s="11">
        <f t="shared" si="2"/>
        <v>8645.240341349785</v>
      </c>
      <c r="K56" s="11">
        <f>Financiamento!D65</f>
        <v>7650.3234783549551</v>
      </c>
      <c r="L56" s="11">
        <f>Financiamento!C65</f>
        <v>994.91686299482967</v>
      </c>
      <c r="M56" s="11"/>
      <c r="N56" s="11"/>
      <c r="P56" s="11">
        <f t="shared" si="3"/>
        <v>9620.5778876286458</v>
      </c>
      <c r="Q56" s="11">
        <f>-SUM(E51:H51)</f>
        <v>-300</v>
      </c>
      <c r="R56" s="11">
        <f t="shared" si="5"/>
        <v>9320.5778876286458</v>
      </c>
      <c r="S56" s="11"/>
      <c r="T56" s="11">
        <f t="shared" si="6"/>
        <v>9320.5778876286458</v>
      </c>
      <c r="U56" s="11">
        <f>-L51</f>
        <v>-1557.7251387374354</v>
      </c>
      <c r="V56" s="11">
        <f t="shared" si="8"/>
        <v>7762.8527488912105</v>
      </c>
      <c r="W56" s="11">
        <f>-I51</f>
        <v>-360.78695143599992</v>
      </c>
      <c r="X56" s="11">
        <f t="shared" si="10"/>
        <v>7402.0657974552105</v>
      </c>
      <c r="Z56" s="11">
        <f t="shared" si="11"/>
        <v>9320.5778876286458</v>
      </c>
      <c r="AA56" s="11">
        <f t="shared" si="12"/>
        <v>-360.78695143599992</v>
      </c>
      <c r="AB56" s="11">
        <f>-N51</f>
        <v>0</v>
      </c>
      <c r="AC56" s="11">
        <f t="shared" si="14"/>
        <v>0</v>
      </c>
      <c r="AD56" s="11">
        <f>-J51</f>
        <v>-8645.240341349785</v>
      </c>
      <c r="AE56" s="11">
        <f t="shared" si="16"/>
        <v>314.55059484286176</v>
      </c>
      <c r="AF56" s="11">
        <f t="shared" si="18"/>
        <v>-287748.79064675147</v>
      </c>
      <c r="AG56" s="11">
        <f t="shared" si="17"/>
        <v>-287434.24005190859</v>
      </c>
    </row>
    <row r="57" spans="1:34" ht="15.75" customHeight="1" x14ac:dyDescent="0.35">
      <c r="A57" s="5">
        <f t="shared" si="0"/>
        <v>2026</v>
      </c>
      <c r="B57" s="5" t="str">
        <f t="shared" si="1"/>
        <v>Q1</v>
      </c>
      <c r="C57" s="10">
        <v>46023</v>
      </c>
      <c r="D57" s="11">
        <f>'Faturamento 235'!P38+'Faturamento Itaipu'!L36+'Faturamento Icaraí'!P36+'Faturamento Laura Jardim'!L25+'Faturamento Essencial'!L21+'Faturamento 281'!N38</f>
        <v>9504.8005373362084</v>
      </c>
      <c r="E57" s="11"/>
      <c r="F57" s="11">
        <v>300</v>
      </c>
      <c r="G57" s="11"/>
      <c r="H57" s="11"/>
      <c r="I57" s="11">
        <f t="shared" si="19"/>
        <v>570.28803224017247</v>
      </c>
      <c r="J57" s="11">
        <f t="shared" si="2"/>
        <v>8645.240341349785</v>
      </c>
      <c r="K57" s="11">
        <f>Financiamento!D66</f>
        <v>7768.1384599216217</v>
      </c>
      <c r="L57" s="11">
        <f>Financiamento!C66</f>
        <v>877.10188142816332</v>
      </c>
      <c r="M57" s="11"/>
      <c r="N57" s="11"/>
      <c r="P57" s="11">
        <f t="shared" si="3"/>
        <v>9504.8005373362084</v>
      </c>
      <c r="Q57" s="11">
        <f>-SUM(E51:H51)</f>
        <v>-300</v>
      </c>
      <c r="R57" s="11">
        <f t="shared" si="5"/>
        <v>9204.8005373362084</v>
      </c>
      <c r="S57" s="11"/>
      <c r="T57" s="11">
        <f t="shared" si="6"/>
        <v>9204.8005373362084</v>
      </c>
      <c r="U57" s="11">
        <f>-L51</f>
        <v>-1557.7251387374354</v>
      </c>
      <c r="V57" s="11">
        <f t="shared" si="8"/>
        <v>7647.0753985987731</v>
      </c>
      <c r="W57" s="11">
        <f>-I51</f>
        <v>-360.78695143599992</v>
      </c>
      <c r="X57" s="11">
        <f t="shared" si="10"/>
        <v>7286.2884471627731</v>
      </c>
      <c r="Z57" s="11">
        <f t="shared" si="11"/>
        <v>9204.8005373362084</v>
      </c>
      <c r="AA57" s="11">
        <f t="shared" si="12"/>
        <v>-360.78695143599992</v>
      </c>
      <c r="AB57" s="11">
        <f>-N51</f>
        <v>0</v>
      </c>
      <c r="AC57" s="11">
        <f t="shared" si="14"/>
        <v>0</v>
      </c>
      <c r="AD57" s="11">
        <f>-J51</f>
        <v>-8645.240341349785</v>
      </c>
      <c r="AE57" s="11">
        <f t="shared" si="16"/>
        <v>198.77324455042435</v>
      </c>
      <c r="AF57" s="11">
        <f t="shared" si="18"/>
        <v>-287434.24005190859</v>
      </c>
      <c r="AG57" s="11">
        <f t="shared" si="17"/>
        <v>-287235.46680735814</v>
      </c>
    </row>
    <row r="58" spans="1:34" ht="15.75" customHeight="1" x14ac:dyDescent="0.35">
      <c r="A58" s="5">
        <f t="shared" si="0"/>
        <v>2026</v>
      </c>
      <c r="B58" s="5" t="str">
        <f t="shared" si="1"/>
        <v>Q1</v>
      </c>
      <c r="C58" s="10">
        <v>46054</v>
      </c>
      <c r="D58" s="11">
        <f>'Faturamento 235'!P39+'Faturamento Itaipu'!L37+'Faturamento Icaraí'!P37+'Faturamento Laura Jardim'!L26+'Faturamento Essencial'!L22+'Faturamento 281'!N39</f>
        <v>6937.4225164999989</v>
      </c>
      <c r="E58" s="11"/>
      <c r="F58" s="11">
        <v>300</v>
      </c>
      <c r="G58" s="11"/>
      <c r="H58" s="11"/>
      <c r="I58" s="11">
        <f t="shared" si="19"/>
        <v>416.24535098999991</v>
      </c>
      <c r="J58" s="11">
        <f t="shared" si="2"/>
        <v>8645.240341349785</v>
      </c>
      <c r="K58" s="11">
        <f>Financiamento!D67</f>
        <v>7887.7677922044149</v>
      </c>
      <c r="L58" s="11">
        <f>Financiamento!C67</f>
        <v>757.47254914537041</v>
      </c>
      <c r="M58" s="11"/>
      <c r="N58" s="11"/>
      <c r="P58" s="11">
        <f t="shared" si="3"/>
        <v>6937.4225164999989</v>
      </c>
      <c r="Q58" s="11">
        <f t="shared" ref="Q58:Q61" si="20">-SUM(E51:H51)</f>
        <v>-300</v>
      </c>
      <c r="R58" s="11">
        <f t="shared" si="5"/>
        <v>6637.4225164999989</v>
      </c>
      <c r="S58" s="11"/>
      <c r="T58" s="11">
        <f t="shared" si="6"/>
        <v>6637.4225164999989</v>
      </c>
      <c r="U58" s="11">
        <f t="shared" ref="U58:U61" si="21">-L51</f>
        <v>-1557.7251387374354</v>
      </c>
      <c r="V58" s="11">
        <f t="shared" si="8"/>
        <v>5079.6973777625635</v>
      </c>
      <c r="W58" s="11">
        <f t="shared" ref="W58:W61" si="22">-I51</f>
        <v>-360.78695143599992</v>
      </c>
      <c r="X58" s="11">
        <f t="shared" si="10"/>
        <v>4718.9104263265635</v>
      </c>
      <c r="Z58" s="11">
        <f t="shared" si="11"/>
        <v>6637.4225164999989</v>
      </c>
      <c r="AA58" s="11">
        <f t="shared" si="12"/>
        <v>-360.78695143599992</v>
      </c>
      <c r="AB58" s="11">
        <f t="shared" ref="AB58:AB61" si="23">-N51</f>
        <v>0</v>
      </c>
      <c r="AC58" s="11">
        <f t="shared" si="14"/>
        <v>0</v>
      </c>
      <c r="AD58" s="11">
        <f t="shared" ref="AD58:AD61" si="24">-J51</f>
        <v>-8645.240341349785</v>
      </c>
      <c r="AE58" s="11">
        <f t="shared" si="16"/>
        <v>-2368.6047762857861</v>
      </c>
      <c r="AF58" s="11">
        <f t="shared" si="18"/>
        <v>-287235.46680735814</v>
      </c>
      <c r="AG58" s="11">
        <f t="shared" si="17"/>
        <v>-289604.0715836439</v>
      </c>
    </row>
    <row r="59" spans="1:34" ht="15.75" customHeight="1" x14ac:dyDescent="0.35">
      <c r="A59" s="5">
        <f t="shared" si="0"/>
        <v>2026</v>
      </c>
      <c r="B59" s="5" t="str">
        <f t="shared" si="1"/>
        <v>Q1</v>
      </c>
      <c r="C59" s="10">
        <v>46082</v>
      </c>
      <c r="D59" s="11">
        <f>'Faturamento 235'!P40+'Faturamento Itaipu'!L38+'Faturamento Icaraí'!P38+'Faturamento Laura Jardim'!L27+'Faturamento Essencial'!L23+'Faturamento 281'!N40</f>
        <v>8057.9807893107136</v>
      </c>
      <c r="E59" s="11"/>
      <c r="F59" s="11">
        <v>300</v>
      </c>
      <c r="G59" s="11"/>
      <c r="H59" s="11"/>
      <c r="I59" s="11">
        <f t="shared" si="19"/>
        <v>483.47884735864278</v>
      </c>
      <c r="J59" s="11">
        <f t="shared" si="2"/>
        <v>8645.240341349785</v>
      </c>
      <c r="K59" s="11">
        <f>Financiamento!D68</f>
        <v>8009.2394162043629</v>
      </c>
      <c r="L59" s="11">
        <f>Financiamento!C68</f>
        <v>636.00092514542234</v>
      </c>
      <c r="M59" s="11"/>
      <c r="N59" s="11"/>
      <c r="P59" s="11">
        <f t="shared" si="3"/>
        <v>8057.9807893107136</v>
      </c>
      <c r="Q59" s="11">
        <f t="shared" si="20"/>
        <v>-300</v>
      </c>
      <c r="R59" s="11">
        <f t="shared" si="5"/>
        <v>7757.9807893107136</v>
      </c>
      <c r="S59" s="11"/>
      <c r="T59" s="11">
        <f t="shared" si="6"/>
        <v>7757.9807893107136</v>
      </c>
      <c r="U59" s="11">
        <f t="shared" si="21"/>
        <v>-1448.577404617205</v>
      </c>
      <c r="V59" s="11">
        <f t="shared" si="8"/>
        <v>6309.403384693509</v>
      </c>
      <c r="W59" s="11">
        <f t="shared" si="22"/>
        <v>-374.05330119428567</v>
      </c>
      <c r="X59" s="11">
        <f t="shared" si="10"/>
        <v>5935.3500834992237</v>
      </c>
      <c r="Z59" s="11">
        <f t="shared" si="11"/>
        <v>7757.9807893107136</v>
      </c>
      <c r="AA59" s="11">
        <f t="shared" si="12"/>
        <v>-374.05330119428567</v>
      </c>
      <c r="AB59" s="11">
        <f t="shared" si="23"/>
        <v>0</v>
      </c>
      <c r="AC59" s="11">
        <f t="shared" si="14"/>
        <v>0</v>
      </c>
      <c r="AD59" s="11">
        <f t="shared" si="24"/>
        <v>-8645.240341349785</v>
      </c>
      <c r="AE59" s="11">
        <f t="shared" si="16"/>
        <v>-1261.3128532333567</v>
      </c>
      <c r="AF59" s="11">
        <f t="shared" si="18"/>
        <v>-289604.0715836439</v>
      </c>
      <c r="AG59" s="11">
        <f t="shared" si="17"/>
        <v>-290865.38443687727</v>
      </c>
    </row>
    <row r="60" spans="1:34" ht="15.75" customHeight="1" x14ac:dyDescent="0.35">
      <c r="A60" s="5">
        <f t="shared" si="0"/>
        <v>2026</v>
      </c>
      <c r="B60" s="5" t="str">
        <f t="shared" si="1"/>
        <v>Q2</v>
      </c>
      <c r="C60" s="10">
        <v>46113</v>
      </c>
      <c r="D60" s="11">
        <f>'Faturamento 235'!P41+'Faturamento Itaipu'!L39+'Faturamento Icaraí'!P39+'Faturamento Laura Jardim'!L28+'Faturamento Essencial'!L24+'Faturamento 281'!N41</f>
        <v>8785.9629660999999</v>
      </c>
      <c r="E60" s="11"/>
      <c r="F60" s="11">
        <v>300</v>
      </c>
      <c r="G60" s="11"/>
      <c r="H60" s="11"/>
      <c r="I60" s="11">
        <f t="shared" si="19"/>
        <v>527.15777796600003</v>
      </c>
      <c r="J60" s="11">
        <f t="shared" si="2"/>
        <v>8645.240341349785</v>
      </c>
      <c r="K60" s="11">
        <f>Financiamento!D69</f>
        <v>8132.5817032139093</v>
      </c>
      <c r="L60" s="11">
        <f>Financiamento!C69</f>
        <v>512.65863813587521</v>
      </c>
      <c r="M60" s="11"/>
      <c r="N60" s="11"/>
      <c r="P60" s="11">
        <f t="shared" si="3"/>
        <v>8785.9629660999999</v>
      </c>
      <c r="Q60" s="11">
        <f t="shared" si="20"/>
        <v>-300</v>
      </c>
      <c r="R60" s="11">
        <f t="shared" si="5"/>
        <v>8485.9629660999999</v>
      </c>
      <c r="S60" s="11"/>
      <c r="T60" s="11">
        <f t="shared" si="6"/>
        <v>8485.9629660999999</v>
      </c>
      <c r="U60" s="11">
        <f t="shared" si="21"/>
        <v>-1337.7487953915233</v>
      </c>
      <c r="V60" s="11">
        <f t="shared" si="8"/>
        <v>7148.2141707084766</v>
      </c>
      <c r="W60" s="11">
        <f t="shared" si="22"/>
        <v>-556.44399048342859</v>
      </c>
      <c r="X60" s="11">
        <f t="shared" si="10"/>
        <v>6591.7701802250476</v>
      </c>
      <c r="Z60" s="11">
        <f t="shared" si="11"/>
        <v>8485.9629660999999</v>
      </c>
      <c r="AA60" s="11">
        <f t="shared" si="12"/>
        <v>-556.44399048342859</v>
      </c>
      <c r="AB60" s="11">
        <f t="shared" si="23"/>
        <v>0</v>
      </c>
      <c r="AC60" s="11">
        <f t="shared" si="14"/>
        <v>0</v>
      </c>
      <c r="AD60" s="11">
        <f t="shared" si="24"/>
        <v>-8645.240341349785</v>
      </c>
      <c r="AE60" s="11">
        <f t="shared" si="16"/>
        <v>-715.72136573321404</v>
      </c>
      <c r="AF60" s="11">
        <f t="shared" si="18"/>
        <v>-290865.38443687727</v>
      </c>
      <c r="AG60" s="11">
        <f t="shared" si="17"/>
        <v>-291581.10580261046</v>
      </c>
    </row>
    <row r="61" spans="1:34" ht="15.75" customHeight="1" x14ac:dyDescent="0.35">
      <c r="A61" s="5">
        <f t="shared" si="0"/>
        <v>2026</v>
      </c>
      <c r="B61" s="5" t="str">
        <f t="shared" si="1"/>
        <v>Q2</v>
      </c>
      <c r="C61" s="10">
        <v>46143</v>
      </c>
      <c r="D61" s="11">
        <f>'Faturamento 235'!P42+'Faturamento Itaipu'!L40+'Faturamento Icaraí'!P40+'Faturamento Laura Jardim'!L29+'Faturamento Essencial'!L25+'Faturamento 281'!N42</f>
        <v>7035.6919592752756</v>
      </c>
      <c r="E61" s="11"/>
      <c r="F61" s="11">
        <v>300</v>
      </c>
      <c r="G61" s="11"/>
      <c r="H61" s="11"/>
      <c r="I61" s="11">
        <f t="shared" si="19"/>
        <v>422.14151755651653</v>
      </c>
      <c r="J61" s="11">
        <f t="shared" si="2"/>
        <v>8645.240341349785</v>
      </c>
      <c r="K61" s="11">
        <f>Financiamento!D70</f>
        <v>8257.8234614434041</v>
      </c>
      <c r="L61" s="11">
        <f>Financiamento!C70</f>
        <v>387.41687990638098</v>
      </c>
      <c r="M61" s="11"/>
      <c r="N61" s="11"/>
      <c r="P61" s="11">
        <f t="shared" si="3"/>
        <v>7035.6919592752756</v>
      </c>
      <c r="Q61" s="11">
        <f t="shared" si="20"/>
        <v>-300</v>
      </c>
      <c r="R61" s="11">
        <f t="shared" si="5"/>
        <v>6735.6919592752756</v>
      </c>
      <c r="S61" s="11"/>
      <c r="T61" s="11">
        <f t="shared" si="6"/>
        <v>6735.6919592752756</v>
      </c>
      <c r="U61" s="11">
        <f t="shared" si="21"/>
        <v>-1225.2134255837661</v>
      </c>
      <c r="V61" s="11">
        <f t="shared" si="8"/>
        <v>5510.4785336915093</v>
      </c>
      <c r="W61" s="11">
        <f t="shared" si="22"/>
        <v>-418.51481168678566</v>
      </c>
      <c r="X61" s="11">
        <f t="shared" si="10"/>
        <v>5091.9637220047234</v>
      </c>
      <c r="Z61" s="11">
        <f t="shared" si="11"/>
        <v>6735.6919592752756</v>
      </c>
      <c r="AA61" s="11">
        <f t="shared" si="12"/>
        <v>-418.51481168678566</v>
      </c>
      <c r="AB61" s="11">
        <f t="shared" si="23"/>
        <v>0</v>
      </c>
      <c r="AC61" s="11">
        <f t="shared" si="14"/>
        <v>0</v>
      </c>
      <c r="AD61" s="11">
        <f t="shared" si="24"/>
        <v>-8645.240341349785</v>
      </c>
      <c r="AE61" s="11">
        <f t="shared" si="16"/>
        <v>-2328.0631937612952</v>
      </c>
      <c r="AF61" s="11">
        <f t="shared" si="18"/>
        <v>-291581.10580261046</v>
      </c>
      <c r="AG61" s="11">
        <f t="shared" si="17"/>
        <v>-293909.16899637174</v>
      </c>
    </row>
    <row r="62" spans="1:34" ht="15.75" customHeight="1" x14ac:dyDescent="0.35">
      <c r="A62" s="5">
        <f t="shared" ref="A62:A63" si="25">YEAR(C62)</f>
        <v>2026</v>
      </c>
      <c r="B62" s="5" t="str">
        <f t="shared" ref="B62:B63" si="26">"Q"&amp;(QUOTIENT(MONTH(C62),3.1)+1)</f>
        <v>Q2</v>
      </c>
      <c r="C62" s="10">
        <v>46174</v>
      </c>
      <c r="D62" s="11">
        <f>'Faturamento 235'!P43+'Faturamento Itaipu'!L41+'Faturamento Icaraí'!P41+'Faturamento Laura Jardim'!L30+'Faturamento Essencial'!L26+'Faturamento 281'!N43</f>
        <v>3518.393457624491</v>
      </c>
      <c r="E62" s="11"/>
      <c r="F62" s="11">
        <v>300</v>
      </c>
      <c r="G62" s="11"/>
      <c r="H62" s="11"/>
      <c r="I62" s="11">
        <f t="shared" ref="I62:I63" si="27">D62*6%</f>
        <v>211.10360745746945</v>
      </c>
      <c r="J62" s="11">
        <f t="shared" ref="J62:J63" si="28">K62+L62</f>
        <v>8645.240341349785</v>
      </c>
      <c r="K62" s="11">
        <f>Financiamento!D71</f>
        <v>8384.993942749632</v>
      </c>
      <c r="L62" s="11">
        <f>Financiamento!C71</f>
        <v>260.24639860015253</v>
      </c>
      <c r="M62" s="11"/>
      <c r="N62" s="11"/>
      <c r="P62" s="11">
        <f t="shared" ref="P62:P63" si="29">D62</f>
        <v>3518.393457624491</v>
      </c>
      <c r="Q62" s="11">
        <f t="shared" ref="Q62:Q63" si="30">-SUM(E55:H55)</f>
        <v>-300</v>
      </c>
      <c r="R62" s="11">
        <f t="shared" ref="R62:R63" si="31">SUM(P62:Q62)</f>
        <v>3218.393457624491</v>
      </c>
      <c r="S62" s="11"/>
      <c r="T62" s="11">
        <f t="shared" ref="T62:T63" si="32">SUM(R62:S62)</f>
        <v>3218.393457624491</v>
      </c>
      <c r="U62" s="11">
        <f t="shared" ref="U62:U63" si="33">-L55</f>
        <v>-1110.9450110809694</v>
      </c>
      <c r="V62" s="11">
        <f t="shared" ref="V62:V63" si="34">SUM(T62:U62)</f>
        <v>2107.4484465435216</v>
      </c>
      <c r="W62" s="11">
        <f t="shared" ref="W62:W63" si="35">-I55</f>
        <v>-495.53498716961525</v>
      </c>
      <c r="X62" s="11">
        <f t="shared" ref="X62:X63" si="36">SUM(V62:W62)</f>
        <v>1611.9134593739063</v>
      </c>
      <c r="Z62" s="11">
        <f t="shared" ref="Z62:Z63" si="37">R62</f>
        <v>3218.393457624491</v>
      </c>
      <c r="AA62" s="11">
        <f t="shared" ref="AA62:AA63" si="38">W62</f>
        <v>-495.53498716961525</v>
      </c>
      <c r="AB62" s="11">
        <f t="shared" ref="AB62:AB63" si="39">-N55</f>
        <v>0</v>
      </c>
      <c r="AC62" s="11">
        <f t="shared" ref="AC62:AC63" si="40">M62</f>
        <v>0</v>
      </c>
      <c r="AD62" s="11">
        <f t="shared" ref="AD62:AD63" si="41">-J55</f>
        <v>-8645.240341349785</v>
      </c>
      <c r="AE62" s="11">
        <f t="shared" ref="AE62:AE63" si="42">SUM(Z62:AD62)</f>
        <v>-5922.3818708949093</v>
      </c>
      <c r="AF62" s="11">
        <f t="shared" ref="AF62:AF63" si="43">AG61</f>
        <v>-293909.16899637174</v>
      </c>
      <c r="AG62" s="11">
        <f t="shared" ref="AG62:AG63" si="44">AF62+AE62</f>
        <v>-299831.55086726666</v>
      </c>
    </row>
    <row r="63" spans="1:34" ht="15.75" customHeight="1" x14ac:dyDescent="0.35">
      <c r="A63" s="5">
        <f t="shared" si="25"/>
        <v>2026</v>
      </c>
      <c r="B63" s="5" t="str">
        <f t="shared" si="26"/>
        <v>Q3</v>
      </c>
      <c r="C63" s="10">
        <v>46204</v>
      </c>
      <c r="D63" s="11">
        <f>'Faturamento 235'!P44+'Faturamento Itaipu'!L42+'Faturamento Icaraí'!P42+'Faturamento Laura Jardim'!L31+'Faturamento Essencial'!L27+'Faturamento 281'!N44</f>
        <v>4580.2314702668773</v>
      </c>
      <c r="E63" s="11"/>
      <c r="F63" s="11">
        <v>300</v>
      </c>
      <c r="G63" s="11"/>
      <c r="H63" s="11"/>
      <c r="I63" s="11">
        <f t="shared" si="27"/>
        <v>274.81388821601263</v>
      </c>
      <c r="J63" s="11">
        <f t="shared" si="28"/>
        <v>8645.240341349785</v>
      </c>
      <c r="K63" s="11">
        <f>Financiamento!D72</f>
        <v>8514.1228494679763</v>
      </c>
      <c r="L63" s="11">
        <f>Financiamento!C72</f>
        <v>131.11749188180821</v>
      </c>
      <c r="M63" s="11"/>
      <c r="N63" s="11"/>
      <c r="P63" s="11">
        <f t="shared" si="29"/>
        <v>4580.2314702668773</v>
      </c>
      <c r="Q63" s="11">
        <f t="shared" si="30"/>
        <v>-300</v>
      </c>
      <c r="R63" s="11">
        <f t="shared" si="31"/>
        <v>4280.2314702668773</v>
      </c>
      <c r="S63" s="11"/>
      <c r="T63" s="11">
        <f t="shared" si="32"/>
        <v>4280.2314702668773</v>
      </c>
      <c r="U63" s="11">
        <f t="shared" si="33"/>
        <v>-994.91686299482967</v>
      </c>
      <c r="V63" s="11">
        <f t="shared" si="34"/>
        <v>3285.3146072720474</v>
      </c>
      <c r="W63" s="11">
        <f t="shared" si="35"/>
        <v>-577.23467325771878</v>
      </c>
      <c r="X63" s="11">
        <f t="shared" si="36"/>
        <v>2708.0799340143285</v>
      </c>
      <c r="Z63" s="11">
        <f t="shared" si="37"/>
        <v>4280.2314702668773</v>
      </c>
      <c r="AA63" s="11">
        <f t="shared" si="38"/>
        <v>-577.23467325771878</v>
      </c>
      <c r="AB63" s="11">
        <f t="shared" si="39"/>
        <v>0</v>
      </c>
      <c r="AC63" s="11">
        <f t="shared" si="40"/>
        <v>0</v>
      </c>
      <c r="AD63" s="11">
        <f t="shared" si="41"/>
        <v>-8645.240341349785</v>
      </c>
      <c r="AE63" s="11">
        <f t="shared" si="42"/>
        <v>-4942.2435443406266</v>
      </c>
      <c r="AF63" s="11">
        <f t="shared" si="43"/>
        <v>-299831.55086726666</v>
      </c>
      <c r="AG63" s="11">
        <f t="shared" si="44"/>
        <v>-304773.79441160726</v>
      </c>
    </row>
    <row r="64" spans="1:3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T1000"/>
  <sheetViews>
    <sheetView showGridLine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4.453125" defaultRowHeight="15" customHeight="1" x14ac:dyDescent="0.35"/>
  <cols>
    <col min="1" max="2" width="8.7265625" customWidth="1"/>
    <col min="3" max="3" width="10.7265625" customWidth="1"/>
    <col min="4" max="5" width="19.1796875" customWidth="1"/>
    <col min="6" max="6" width="31" customWidth="1"/>
    <col min="7" max="9" width="22" customWidth="1"/>
    <col min="10" max="10" width="8.7265625" customWidth="1"/>
    <col min="11" max="11" width="21.81640625" customWidth="1"/>
    <col min="12" max="12" width="26.54296875" customWidth="1"/>
    <col min="13" max="13" width="18" customWidth="1"/>
    <col min="14" max="14" width="24.453125" customWidth="1"/>
    <col min="15" max="15" width="29.7265625" customWidth="1"/>
    <col min="16" max="16" width="9.54296875" customWidth="1"/>
    <col min="17" max="17" width="12.1796875" customWidth="1"/>
    <col min="18" max="18" width="21.54296875" customWidth="1"/>
    <col min="19" max="19" width="9.54296875" customWidth="1"/>
    <col min="20" max="20" width="25" customWidth="1"/>
    <col min="21" max="21" width="9.54296875" customWidth="1"/>
    <col min="22" max="22" width="19.81640625" customWidth="1"/>
    <col min="23" max="23" width="30.54296875" customWidth="1"/>
    <col min="24" max="24" width="9.26953125" customWidth="1"/>
    <col min="25" max="25" width="12.453125" customWidth="1"/>
    <col min="26" max="26" width="11.54296875" customWidth="1"/>
    <col min="27" max="27" width="24.7265625" customWidth="1"/>
    <col min="28" max="28" width="26.26953125" customWidth="1"/>
    <col min="29" max="30" width="30.1796875" customWidth="1"/>
    <col min="31" max="31" width="16.54296875" customWidth="1"/>
    <col min="32" max="33" width="11.54296875" customWidth="1"/>
    <col min="34" max="34" width="8.7265625" customWidth="1"/>
    <col min="35" max="35" width="9.54296875" customWidth="1"/>
    <col min="36" max="36" width="12" customWidth="1"/>
    <col min="37" max="37" width="12.26953125" customWidth="1"/>
    <col min="38" max="38" width="12" customWidth="1"/>
    <col min="39" max="39" width="20.26953125" customWidth="1"/>
    <col min="40" max="40" width="14.1796875" customWidth="1"/>
    <col min="41" max="42" width="8.7265625" customWidth="1"/>
    <col min="43" max="43" width="21.81640625" customWidth="1"/>
    <col min="44" max="44" width="17.81640625" customWidth="1"/>
  </cols>
  <sheetData>
    <row r="1" spans="1:44" ht="14.5" x14ac:dyDescent="0.35">
      <c r="A1" s="1" t="s">
        <v>0</v>
      </c>
      <c r="Q1" s="12" t="s">
        <v>10</v>
      </c>
      <c r="AA1" s="12" t="s">
        <v>59</v>
      </c>
    </row>
    <row r="2" spans="1:44" ht="14.5" x14ac:dyDescent="0.35">
      <c r="A2" s="2"/>
      <c r="B2" s="3"/>
      <c r="C2" s="4" t="s">
        <v>1</v>
      </c>
      <c r="D2" s="3" t="s">
        <v>2</v>
      </c>
      <c r="E2" s="3" t="s">
        <v>2</v>
      </c>
      <c r="F2" s="3" t="s">
        <v>3</v>
      </c>
      <c r="G2" s="3" t="s">
        <v>4</v>
      </c>
      <c r="H2" s="3" t="s">
        <v>4</v>
      </c>
      <c r="I2" s="3" t="s">
        <v>4</v>
      </c>
      <c r="J2" s="3" t="s">
        <v>5</v>
      </c>
      <c r="K2" s="3"/>
      <c r="L2" s="3"/>
      <c r="M2" s="3" t="s">
        <v>7</v>
      </c>
      <c r="N2" s="3" t="s">
        <v>8</v>
      </c>
      <c r="O2" s="3" t="s">
        <v>39</v>
      </c>
      <c r="Q2" s="3"/>
      <c r="R2" s="3"/>
      <c r="S2" s="3"/>
      <c r="T2" s="3"/>
      <c r="U2" s="3"/>
      <c r="V2" s="3"/>
      <c r="W2" s="3"/>
      <c r="X2" s="3"/>
      <c r="Y2" s="3"/>
      <c r="AA2" s="3" t="s">
        <v>11</v>
      </c>
      <c r="AB2" s="3" t="s">
        <v>12</v>
      </c>
      <c r="AC2" s="3" t="s">
        <v>6</v>
      </c>
      <c r="AD2" s="3" t="s">
        <v>6</v>
      </c>
      <c r="AE2" s="3" t="s">
        <v>13</v>
      </c>
      <c r="AF2" s="3" t="s">
        <v>13</v>
      </c>
      <c r="AG2" s="3" t="s">
        <v>13</v>
      </c>
    </row>
    <row r="3" spans="1:44" ht="14.5" x14ac:dyDescent="0.35">
      <c r="A3" s="3"/>
      <c r="B3" s="3"/>
      <c r="C3" s="3" t="s">
        <v>16</v>
      </c>
      <c r="D3" s="3" t="s">
        <v>18</v>
      </c>
      <c r="E3" s="3" t="s">
        <v>60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25</v>
      </c>
      <c r="M3" s="3" t="s">
        <v>26</v>
      </c>
      <c r="N3" s="3" t="s">
        <v>27</v>
      </c>
      <c r="O3" s="3" t="s">
        <v>61</v>
      </c>
      <c r="Q3" s="3" t="s">
        <v>62</v>
      </c>
      <c r="R3" s="3" t="s">
        <v>30</v>
      </c>
      <c r="S3" s="3" t="s">
        <v>31</v>
      </c>
      <c r="T3" s="3" t="s">
        <v>32</v>
      </c>
      <c r="U3" s="3" t="s">
        <v>33</v>
      </c>
      <c r="V3" s="3" t="s">
        <v>34</v>
      </c>
      <c r="W3" s="3" t="s">
        <v>35</v>
      </c>
      <c r="X3" s="3" t="s">
        <v>5</v>
      </c>
      <c r="Y3" s="3" t="s">
        <v>36</v>
      </c>
      <c r="Z3" s="16"/>
      <c r="AA3" s="3" t="s">
        <v>37</v>
      </c>
      <c r="AB3" s="3" t="s">
        <v>39</v>
      </c>
      <c r="AC3" s="3" t="s">
        <v>40</v>
      </c>
      <c r="AD3" s="3" t="s">
        <v>41</v>
      </c>
      <c r="AE3" s="3" t="s">
        <v>42</v>
      </c>
      <c r="AF3" s="3" t="s">
        <v>43</v>
      </c>
      <c r="AG3" s="3" t="s">
        <v>44</v>
      </c>
      <c r="AH3" s="18"/>
      <c r="AI3" s="19"/>
      <c r="AJ3" s="19" t="s">
        <v>63</v>
      </c>
      <c r="AK3" s="19" t="s">
        <v>36</v>
      </c>
      <c r="AL3" s="19" t="s">
        <v>31</v>
      </c>
      <c r="AM3" s="19" t="s">
        <v>64</v>
      </c>
      <c r="AN3" s="19" t="s">
        <v>65</v>
      </c>
      <c r="AQ3" s="12" t="s">
        <v>66</v>
      </c>
      <c r="AR3" s="12" t="s">
        <v>67</v>
      </c>
    </row>
    <row r="4" spans="1:44" ht="14.5" x14ac:dyDescent="0.35">
      <c r="A4" s="5">
        <f t="shared" ref="A4:A176" si="0">YEAR(C4)</f>
        <v>2021</v>
      </c>
      <c r="B4" s="5" t="str">
        <f t="shared" ref="B4:B176" si="1">"Q"&amp;(QUOTIENT(MONTH(C4),3.1)+1)</f>
        <v>Q3</v>
      </c>
      <c r="C4" s="10">
        <v>44409</v>
      </c>
      <c r="D4" s="20"/>
      <c r="E4" s="20"/>
      <c r="F4" s="20"/>
      <c r="G4" s="20">
        <v>300</v>
      </c>
      <c r="H4" s="20"/>
      <c r="I4" s="20"/>
      <c r="J4" s="20"/>
      <c r="K4" s="20">
        <f t="shared" ref="K4:K176" si="2">L4+M4</f>
        <v>8645.240341349785</v>
      </c>
      <c r="L4" s="20">
        <f>Financiamento!D13</f>
        <v>3455.7914613497851</v>
      </c>
      <c r="M4" s="20">
        <f>Financiamento!C13</f>
        <v>5189.4488799999999</v>
      </c>
      <c r="N4" s="20">
        <f>Financiamento!$B$3</f>
        <v>331380.09000000003</v>
      </c>
      <c r="O4" s="20">
        <f>N4</f>
        <v>331380.09000000003</v>
      </c>
      <c r="Q4" s="20">
        <f t="shared" ref="Q4:Q57" si="3">D4</f>
        <v>0</v>
      </c>
      <c r="R4" s="20">
        <f t="shared" ref="R4:R48" si="4">-SUM(F4:I4)</f>
        <v>-300</v>
      </c>
      <c r="S4" s="20">
        <f t="shared" ref="S4:S176" si="5">SUM(Q4:R4)</f>
        <v>-300</v>
      </c>
      <c r="T4" s="20"/>
      <c r="U4" s="20">
        <f t="shared" ref="U4:U176" si="6">SUM(S4:T4)</f>
        <v>-300</v>
      </c>
      <c r="V4" s="20">
        <f t="shared" ref="V4:V48" si="7">-M4</f>
        <v>-5189.4488799999999</v>
      </c>
      <c r="W4" s="20">
        <f t="shared" ref="W4:W176" si="8">SUM(U4:V4)</f>
        <v>-5489.4488799999999</v>
      </c>
      <c r="X4" s="20">
        <f t="shared" ref="X4:X48" si="9">-J4</f>
        <v>0</v>
      </c>
      <c r="Y4" s="20">
        <f t="shared" ref="Y4:Y176" si="10">SUM(W4:X4)</f>
        <v>-5489.4488799999999</v>
      </c>
      <c r="Z4" s="21"/>
      <c r="AA4" s="20">
        <f t="shared" ref="AA4:AA176" si="11">S4</f>
        <v>-300</v>
      </c>
      <c r="AB4" s="20">
        <f t="shared" ref="AB4:AB48" si="12">-O4</f>
        <v>-331380.09000000003</v>
      </c>
      <c r="AC4" s="20">
        <f t="shared" ref="AC4:AC176" si="13">N4</f>
        <v>331380.09000000003</v>
      </c>
      <c r="AD4" s="20">
        <f t="shared" ref="AD4:AD48" si="14">-K4</f>
        <v>-8645.240341349785</v>
      </c>
      <c r="AE4" s="20">
        <f t="shared" ref="AE4:AE176" si="15">SUM(AA4:AD4)</f>
        <v>-8945.240341349785</v>
      </c>
      <c r="AF4" s="20">
        <v>0</v>
      </c>
      <c r="AG4" s="20">
        <f t="shared" ref="AG4:AG176" si="16">AF4+AE4</f>
        <v>-8945.240341349785</v>
      </c>
      <c r="AI4" s="22">
        <v>2021</v>
      </c>
      <c r="AJ4" s="23">
        <f t="shared" ref="AJ4:AJ18" si="17">SUMIFS($Q$4:$Q$176,$A$4:$A$176,$AI4)</f>
        <v>0</v>
      </c>
      <c r="AK4" s="23">
        <f t="shared" ref="AK4:AK18" si="18">SUMIFS($Y$4:$Y$176,$A$4:$A$176,$AI4)</f>
        <v>-26906.793458238146</v>
      </c>
      <c r="AL4" s="23">
        <f t="shared" ref="AL4:AL18" si="19">SUMIFS($S$4:$S$176,$A$4:$A$176,$AI4)</f>
        <v>-1500</v>
      </c>
      <c r="AM4" s="23">
        <f t="shared" ref="AM4:AM18" si="20">SUMIFS($AE$4:$AE$176,$A$4:$A$176,$AI4)</f>
        <v>-44726.201706748921</v>
      </c>
      <c r="AN4" s="23" t="e">
        <f t="array" aca="1" ref="AN4" ca="1">XLOOKUP(AI4&amp;12,$A$4:$A$176&amp;MONTH($C$4:$C$176),$AG$4:$AG$176)</f>
        <v>#NAME?</v>
      </c>
      <c r="AQ4" s="21">
        <f t="shared" ref="AQ4:AQ57" si="21">AE4</f>
        <v>-8945.240341349785</v>
      </c>
      <c r="AR4" s="21">
        <f t="shared" ref="AR4:AR63" si="22">AQ4</f>
        <v>-8945.240341349785</v>
      </c>
    </row>
    <row r="5" spans="1:44" ht="14.5" x14ac:dyDescent="0.35">
      <c r="A5" s="5">
        <f t="shared" si="0"/>
        <v>2021</v>
      </c>
      <c r="B5" s="5" t="str">
        <f t="shared" si="1"/>
        <v>Q3</v>
      </c>
      <c r="C5" s="10">
        <v>44440</v>
      </c>
      <c r="D5" s="20"/>
      <c r="E5" s="20"/>
      <c r="F5" s="20"/>
      <c r="G5" s="20">
        <v>300</v>
      </c>
      <c r="H5" s="20"/>
      <c r="I5" s="20"/>
      <c r="J5" s="20"/>
      <c r="K5" s="20">
        <f t="shared" si="2"/>
        <v>8645.240341349785</v>
      </c>
      <c r="L5" s="20">
        <f>Financiamento!D14</f>
        <v>3509.0106498545711</v>
      </c>
      <c r="M5" s="20">
        <f>Financiamento!C14</f>
        <v>5136.229691495214</v>
      </c>
      <c r="N5" s="20"/>
      <c r="O5" s="20"/>
      <c r="Q5" s="20">
        <f t="shared" si="3"/>
        <v>0</v>
      </c>
      <c r="R5" s="20">
        <f t="shared" si="4"/>
        <v>-300</v>
      </c>
      <c r="S5" s="20">
        <f t="shared" si="5"/>
        <v>-300</v>
      </c>
      <c r="T5" s="20"/>
      <c r="U5" s="20">
        <f t="shared" si="6"/>
        <v>-300</v>
      </c>
      <c r="V5" s="20">
        <f t="shared" si="7"/>
        <v>-5136.229691495214</v>
      </c>
      <c r="W5" s="20">
        <f t="shared" si="8"/>
        <v>-5436.229691495214</v>
      </c>
      <c r="X5" s="20">
        <f t="shared" si="9"/>
        <v>0</v>
      </c>
      <c r="Y5" s="20">
        <f t="shared" si="10"/>
        <v>-5436.229691495214</v>
      </c>
      <c r="Z5" s="21"/>
      <c r="AA5" s="20">
        <f t="shared" si="11"/>
        <v>-300</v>
      </c>
      <c r="AB5" s="20">
        <f t="shared" si="12"/>
        <v>0</v>
      </c>
      <c r="AC5" s="20">
        <f t="shared" si="13"/>
        <v>0</v>
      </c>
      <c r="AD5" s="20">
        <f t="shared" si="14"/>
        <v>-8645.240341349785</v>
      </c>
      <c r="AE5" s="20">
        <f t="shared" si="15"/>
        <v>-8945.240341349785</v>
      </c>
      <c r="AF5" s="20">
        <f t="shared" ref="AF5:AF176" si="23">AG4</f>
        <v>-8945.240341349785</v>
      </c>
      <c r="AG5" s="20">
        <f t="shared" si="16"/>
        <v>-17890.48068269957</v>
      </c>
      <c r="AI5" s="22">
        <v>2022</v>
      </c>
      <c r="AJ5" s="23">
        <f t="shared" si="17"/>
        <v>0</v>
      </c>
      <c r="AK5" s="23">
        <f t="shared" si="18"/>
        <v>-58587.436717761419</v>
      </c>
      <c r="AL5" s="23">
        <f t="shared" si="19"/>
        <v>-3600</v>
      </c>
      <c r="AM5" s="23">
        <f t="shared" si="20"/>
        <v>-107342.88409619739</v>
      </c>
      <c r="AN5" s="23" t="e">
        <f t="array" aca="1" ref="AN5" ca="1">XLOOKUP(AI5&amp;12,$A$4:$A$176&amp;MONTH($C$4:$C$176),$AG$4:$AG$176)</f>
        <v>#NAME?</v>
      </c>
      <c r="AQ5" s="21">
        <f t="shared" si="21"/>
        <v>-8945.240341349785</v>
      </c>
      <c r="AR5" s="21">
        <f t="shared" si="22"/>
        <v>-8945.240341349785</v>
      </c>
    </row>
    <row r="6" spans="1:44" ht="14.5" x14ac:dyDescent="0.35">
      <c r="A6" s="5">
        <f t="shared" si="0"/>
        <v>2021</v>
      </c>
      <c r="B6" s="5" t="str">
        <f t="shared" si="1"/>
        <v>Q4</v>
      </c>
      <c r="C6" s="10">
        <v>44470</v>
      </c>
      <c r="D6" s="20"/>
      <c r="E6" s="20"/>
      <c r="F6" s="20"/>
      <c r="G6" s="20">
        <v>300</v>
      </c>
      <c r="H6" s="20"/>
      <c r="I6" s="20"/>
      <c r="J6" s="20"/>
      <c r="K6" s="20">
        <f t="shared" si="2"/>
        <v>8645.240341349785</v>
      </c>
      <c r="L6" s="20">
        <f>Financiamento!D15</f>
        <v>3563.0494138623308</v>
      </c>
      <c r="M6" s="20">
        <f>Financiamento!C15</f>
        <v>5082.1909274874542</v>
      </c>
      <c r="N6" s="20"/>
      <c r="O6" s="20"/>
      <c r="Q6" s="20">
        <f t="shared" si="3"/>
        <v>0</v>
      </c>
      <c r="R6" s="20">
        <f t="shared" si="4"/>
        <v>-300</v>
      </c>
      <c r="S6" s="20">
        <f t="shared" si="5"/>
        <v>-300</v>
      </c>
      <c r="T6" s="20"/>
      <c r="U6" s="20">
        <f t="shared" si="6"/>
        <v>-300</v>
      </c>
      <c r="V6" s="20">
        <f t="shared" si="7"/>
        <v>-5082.1909274874542</v>
      </c>
      <c r="W6" s="20">
        <f t="shared" si="8"/>
        <v>-5382.1909274874542</v>
      </c>
      <c r="X6" s="20">
        <f t="shared" si="9"/>
        <v>0</v>
      </c>
      <c r="Y6" s="20">
        <f t="shared" si="10"/>
        <v>-5382.1909274874542</v>
      </c>
      <c r="Z6" s="21"/>
      <c r="AA6" s="20">
        <f t="shared" si="11"/>
        <v>-300</v>
      </c>
      <c r="AB6" s="20">
        <f t="shared" si="12"/>
        <v>0</v>
      </c>
      <c r="AC6" s="20">
        <f t="shared" si="13"/>
        <v>0</v>
      </c>
      <c r="AD6" s="20">
        <f t="shared" si="14"/>
        <v>-8645.240341349785</v>
      </c>
      <c r="AE6" s="20">
        <f t="shared" si="15"/>
        <v>-8945.240341349785</v>
      </c>
      <c r="AF6" s="20">
        <f t="shared" si="23"/>
        <v>-17890.48068269957</v>
      </c>
      <c r="AG6" s="20">
        <f t="shared" si="16"/>
        <v>-26835.721024049355</v>
      </c>
      <c r="AI6" s="22">
        <v>2023</v>
      </c>
      <c r="AJ6" s="23">
        <f t="shared" si="17"/>
        <v>46972.693107799991</v>
      </c>
      <c r="AK6" s="23">
        <f t="shared" si="18"/>
        <v>-8405.4045810144307</v>
      </c>
      <c r="AL6" s="23">
        <f t="shared" si="19"/>
        <v>39586.673107800001</v>
      </c>
      <c r="AM6" s="23">
        <f t="shared" si="20"/>
        <v>-64156.210988397419</v>
      </c>
      <c r="AN6" s="23" t="e">
        <f t="array" aca="1" ref="AN6" ca="1">XLOOKUP(AI6&amp;12,$A$4:$A$176&amp;MONTH($C$4:$C$176),$AG$4:$AG$176)</f>
        <v>#NAME?</v>
      </c>
      <c r="AQ6" s="21">
        <f t="shared" si="21"/>
        <v>-8945.240341349785</v>
      </c>
      <c r="AR6" s="21">
        <f t="shared" si="22"/>
        <v>-8945.240341349785</v>
      </c>
    </row>
    <row r="7" spans="1:44" ht="14.5" x14ac:dyDescent="0.35">
      <c r="A7" s="5">
        <f t="shared" si="0"/>
        <v>2021</v>
      </c>
      <c r="B7" s="5" t="str">
        <f t="shared" si="1"/>
        <v>Q4</v>
      </c>
      <c r="C7" s="10">
        <v>44501</v>
      </c>
      <c r="D7" s="20"/>
      <c r="E7" s="20"/>
      <c r="F7" s="20"/>
      <c r="G7" s="20">
        <v>300</v>
      </c>
      <c r="H7" s="20"/>
      <c r="I7" s="20"/>
      <c r="J7" s="20"/>
      <c r="K7" s="20">
        <f t="shared" si="2"/>
        <v>8645.240341349785</v>
      </c>
      <c r="L7" s="20">
        <f>Financiamento!D16</f>
        <v>3617.9203748358113</v>
      </c>
      <c r="M7" s="20">
        <f>Financiamento!C16</f>
        <v>5027.3199665139737</v>
      </c>
      <c r="N7" s="20"/>
      <c r="O7" s="20"/>
      <c r="Q7" s="20">
        <f t="shared" si="3"/>
        <v>0</v>
      </c>
      <c r="R7" s="20">
        <f t="shared" si="4"/>
        <v>-300</v>
      </c>
      <c r="S7" s="20">
        <f t="shared" si="5"/>
        <v>-300</v>
      </c>
      <c r="T7" s="20"/>
      <c r="U7" s="20">
        <f t="shared" si="6"/>
        <v>-300</v>
      </c>
      <c r="V7" s="20">
        <f t="shared" si="7"/>
        <v>-5027.3199665139737</v>
      </c>
      <c r="W7" s="20">
        <f t="shared" si="8"/>
        <v>-5327.3199665139737</v>
      </c>
      <c r="X7" s="20">
        <f t="shared" si="9"/>
        <v>0</v>
      </c>
      <c r="Y7" s="20">
        <f t="shared" si="10"/>
        <v>-5327.3199665139737</v>
      </c>
      <c r="Z7" s="21"/>
      <c r="AA7" s="20">
        <f t="shared" si="11"/>
        <v>-300</v>
      </c>
      <c r="AB7" s="20">
        <f t="shared" si="12"/>
        <v>0</v>
      </c>
      <c r="AC7" s="20">
        <f t="shared" si="13"/>
        <v>0</v>
      </c>
      <c r="AD7" s="20">
        <f t="shared" si="14"/>
        <v>-8645.240341349785</v>
      </c>
      <c r="AE7" s="20">
        <f t="shared" si="15"/>
        <v>-8945.240341349785</v>
      </c>
      <c r="AF7" s="20">
        <f t="shared" si="23"/>
        <v>-26835.721024049355</v>
      </c>
      <c r="AG7" s="20">
        <f t="shared" si="16"/>
        <v>-35780.96136539914</v>
      </c>
      <c r="AI7" s="22">
        <v>2024</v>
      </c>
      <c r="AJ7" s="23">
        <f t="shared" si="17"/>
        <v>68012.574777000002</v>
      </c>
      <c r="AK7" s="23">
        <f t="shared" si="18"/>
        <v>26193.175610300495</v>
      </c>
      <c r="AL7" s="23">
        <f t="shared" si="19"/>
        <v>63658.574777000002</v>
      </c>
      <c r="AM7" s="23">
        <f t="shared" si="20"/>
        <v>-40084.309319197411</v>
      </c>
      <c r="AN7" s="23" t="e">
        <f t="array" aca="1" ref="AN7" ca="1">XLOOKUP(AI7&amp;12,$A$4:$A$176&amp;MONTH($C$4:$C$176),$AG$4:$AG$176)</f>
        <v>#NAME?</v>
      </c>
      <c r="AQ7" s="21">
        <f t="shared" si="21"/>
        <v>-8945.240341349785</v>
      </c>
      <c r="AR7" s="21">
        <f t="shared" si="22"/>
        <v>-8945.240341349785</v>
      </c>
    </row>
    <row r="8" spans="1:44" ht="14.5" x14ac:dyDescent="0.35">
      <c r="A8" s="5">
        <f t="shared" si="0"/>
        <v>2021</v>
      </c>
      <c r="B8" s="5" t="str">
        <f t="shared" si="1"/>
        <v>Q4</v>
      </c>
      <c r="C8" s="10">
        <v>44531</v>
      </c>
      <c r="D8" s="20"/>
      <c r="E8" s="20"/>
      <c r="F8" s="20"/>
      <c r="G8" s="20">
        <v>300</v>
      </c>
      <c r="H8" s="20"/>
      <c r="I8" s="20"/>
      <c r="J8" s="20"/>
      <c r="K8" s="20">
        <f t="shared" si="2"/>
        <v>8645.240341349785</v>
      </c>
      <c r="L8" s="20">
        <f>Financiamento!D17</f>
        <v>3673.6363486082819</v>
      </c>
      <c r="M8" s="20">
        <f>Financiamento!C17</f>
        <v>4971.6039927415031</v>
      </c>
      <c r="N8" s="20"/>
      <c r="O8" s="20"/>
      <c r="Q8" s="20">
        <f t="shared" si="3"/>
        <v>0</v>
      </c>
      <c r="R8" s="20">
        <f t="shared" si="4"/>
        <v>-300</v>
      </c>
      <c r="S8" s="20">
        <f t="shared" si="5"/>
        <v>-300</v>
      </c>
      <c r="T8" s="20"/>
      <c r="U8" s="20">
        <f t="shared" si="6"/>
        <v>-300</v>
      </c>
      <c r="V8" s="20">
        <f t="shared" si="7"/>
        <v>-4971.6039927415031</v>
      </c>
      <c r="W8" s="20">
        <f t="shared" si="8"/>
        <v>-5271.6039927415031</v>
      </c>
      <c r="X8" s="20">
        <f t="shared" si="9"/>
        <v>0</v>
      </c>
      <c r="Y8" s="20">
        <f t="shared" si="10"/>
        <v>-5271.6039927415031</v>
      </c>
      <c r="Z8" s="21"/>
      <c r="AA8" s="20">
        <f t="shared" si="11"/>
        <v>-300</v>
      </c>
      <c r="AB8" s="20">
        <f t="shared" si="12"/>
        <v>0</v>
      </c>
      <c r="AC8" s="20">
        <f t="shared" si="13"/>
        <v>0</v>
      </c>
      <c r="AD8" s="20">
        <f t="shared" si="14"/>
        <v>-8645.240341349785</v>
      </c>
      <c r="AE8" s="20">
        <f t="shared" si="15"/>
        <v>-8945.240341349785</v>
      </c>
      <c r="AF8" s="20">
        <f t="shared" si="23"/>
        <v>-35780.96136539914</v>
      </c>
      <c r="AG8" s="20">
        <f t="shared" si="16"/>
        <v>-44726.201706748921</v>
      </c>
      <c r="AI8" s="22">
        <v>2025</v>
      </c>
      <c r="AJ8" s="23">
        <f t="shared" si="17"/>
        <v>97270.246517449021</v>
      </c>
      <c r="AK8" s="23">
        <f t="shared" si="18"/>
        <v>64451.601962302222</v>
      </c>
      <c r="AL8" s="23">
        <f t="shared" si="19"/>
        <v>93370.246517449021</v>
      </c>
      <c r="AM8" s="23">
        <f t="shared" si="20"/>
        <v>-19017.877920098195</v>
      </c>
      <c r="AN8" s="23" t="e">
        <f t="array" aca="1" ref="AN8" ca="1">XLOOKUP(AI8&amp;12,$A$4:$A$176&amp;MONTH($C$4:$C$176),$AG$4:$AG$176)</f>
        <v>#NAME?</v>
      </c>
      <c r="AQ8" s="21">
        <f t="shared" si="21"/>
        <v>-8945.240341349785</v>
      </c>
      <c r="AR8" s="21">
        <f t="shared" si="22"/>
        <v>-8945.240341349785</v>
      </c>
    </row>
    <row r="9" spans="1:44" ht="14.5" x14ac:dyDescent="0.35">
      <c r="A9" s="5">
        <f t="shared" si="0"/>
        <v>2022</v>
      </c>
      <c r="B9" s="5" t="str">
        <f t="shared" si="1"/>
        <v>Q1</v>
      </c>
      <c r="C9" s="10">
        <v>44562</v>
      </c>
      <c r="D9" s="20"/>
      <c r="E9" s="20"/>
      <c r="F9" s="20"/>
      <c r="G9" s="20">
        <v>300</v>
      </c>
      <c r="H9" s="20"/>
      <c r="I9" s="20"/>
      <c r="J9" s="20"/>
      <c r="K9" s="20">
        <f t="shared" si="2"/>
        <v>8645.240341349785</v>
      </c>
      <c r="L9" s="20">
        <f>Financiamento!D18</f>
        <v>3730.2103483768497</v>
      </c>
      <c r="M9" s="20">
        <f>Financiamento!C18</f>
        <v>4915.0299929729354</v>
      </c>
      <c r="N9" s="20"/>
      <c r="O9" s="20"/>
      <c r="Q9" s="20">
        <f t="shared" si="3"/>
        <v>0</v>
      </c>
      <c r="R9" s="20">
        <f t="shared" si="4"/>
        <v>-300</v>
      </c>
      <c r="S9" s="20">
        <f t="shared" si="5"/>
        <v>-300</v>
      </c>
      <c r="T9" s="20"/>
      <c r="U9" s="20">
        <f t="shared" si="6"/>
        <v>-300</v>
      </c>
      <c r="V9" s="20">
        <f t="shared" si="7"/>
        <v>-4915.0299929729354</v>
      </c>
      <c r="W9" s="20">
        <f t="shared" si="8"/>
        <v>-5215.0299929729354</v>
      </c>
      <c r="X9" s="20">
        <f t="shared" si="9"/>
        <v>0</v>
      </c>
      <c r="Y9" s="20">
        <f t="shared" si="10"/>
        <v>-5215.0299929729354</v>
      </c>
      <c r="Z9" s="21"/>
      <c r="AA9" s="20">
        <f t="shared" si="11"/>
        <v>-300</v>
      </c>
      <c r="AB9" s="20">
        <f t="shared" si="12"/>
        <v>0</v>
      </c>
      <c r="AC9" s="20">
        <f t="shared" si="13"/>
        <v>0</v>
      </c>
      <c r="AD9" s="20">
        <f t="shared" si="14"/>
        <v>-8645.240341349785</v>
      </c>
      <c r="AE9" s="20">
        <f t="shared" si="15"/>
        <v>-8945.240341349785</v>
      </c>
      <c r="AF9" s="20">
        <f t="shared" si="23"/>
        <v>-44726.201706748921</v>
      </c>
      <c r="AG9" s="20">
        <f t="shared" si="16"/>
        <v>-53671.442048098703</v>
      </c>
      <c r="AI9" s="22">
        <v>2026</v>
      </c>
      <c r="AJ9" s="23" t="e">
        <f t="shared" ca="1" si="17"/>
        <v>#NAME?</v>
      </c>
      <c r="AK9" s="23" t="e">
        <f t="shared" ca="1" si="18"/>
        <v>#NAME?</v>
      </c>
      <c r="AL9" s="23" t="e">
        <f t="shared" ca="1" si="19"/>
        <v>#NAME?</v>
      </c>
      <c r="AM9" s="23" t="e">
        <f t="shared" ca="1" si="20"/>
        <v>#NAME?</v>
      </c>
      <c r="AN9" s="23" t="e">
        <f t="array" aca="1" ref="AN9" ca="1">XLOOKUP(AI9&amp;12,$A$4:$A$176&amp;MONTH($C$4:$C$176),$AG$4:$AG$176)</f>
        <v>#NAME?</v>
      </c>
      <c r="AQ9" s="21">
        <f t="shared" si="21"/>
        <v>-8945.240341349785</v>
      </c>
      <c r="AR9" s="21">
        <f t="shared" si="22"/>
        <v>-8945.240341349785</v>
      </c>
    </row>
    <row r="10" spans="1:44" ht="14.5" x14ac:dyDescent="0.35">
      <c r="A10" s="5">
        <f t="shared" si="0"/>
        <v>2022</v>
      </c>
      <c r="B10" s="5" t="str">
        <f t="shared" si="1"/>
        <v>Q1</v>
      </c>
      <c r="C10" s="10">
        <v>44593</v>
      </c>
      <c r="D10" s="20"/>
      <c r="E10" s="20"/>
      <c r="F10" s="20"/>
      <c r="G10" s="20">
        <v>300</v>
      </c>
      <c r="H10" s="20"/>
      <c r="I10" s="20"/>
      <c r="J10" s="20"/>
      <c r="K10" s="20">
        <f t="shared" si="2"/>
        <v>8645.240341349785</v>
      </c>
      <c r="L10" s="20">
        <f>Financiamento!D19</f>
        <v>3787.6555877418532</v>
      </c>
      <c r="M10" s="20">
        <f>Financiamento!C19</f>
        <v>4857.5847536079318</v>
      </c>
      <c r="N10" s="20"/>
      <c r="O10" s="20"/>
      <c r="Q10" s="20">
        <f t="shared" si="3"/>
        <v>0</v>
      </c>
      <c r="R10" s="20">
        <f t="shared" si="4"/>
        <v>-300</v>
      </c>
      <c r="S10" s="20">
        <f t="shared" si="5"/>
        <v>-300</v>
      </c>
      <c r="T10" s="20"/>
      <c r="U10" s="20">
        <f t="shared" si="6"/>
        <v>-300</v>
      </c>
      <c r="V10" s="20">
        <f t="shared" si="7"/>
        <v>-4857.5847536079318</v>
      </c>
      <c r="W10" s="20">
        <f t="shared" si="8"/>
        <v>-5157.5847536079318</v>
      </c>
      <c r="X10" s="20">
        <f t="shared" si="9"/>
        <v>0</v>
      </c>
      <c r="Y10" s="20">
        <f t="shared" si="10"/>
        <v>-5157.5847536079318</v>
      </c>
      <c r="Z10" s="21"/>
      <c r="AA10" s="20">
        <f t="shared" si="11"/>
        <v>-300</v>
      </c>
      <c r="AB10" s="20">
        <f t="shared" si="12"/>
        <v>0</v>
      </c>
      <c r="AC10" s="20">
        <f t="shared" si="13"/>
        <v>0</v>
      </c>
      <c r="AD10" s="20">
        <f t="shared" si="14"/>
        <v>-8645.240341349785</v>
      </c>
      <c r="AE10" s="20">
        <f t="shared" si="15"/>
        <v>-8945.240341349785</v>
      </c>
      <c r="AF10" s="20">
        <f t="shared" si="23"/>
        <v>-53671.442048098703</v>
      </c>
      <c r="AG10" s="20">
        <f t="shared" si="16"/>
        <v>-62616.682389448484</v>
      </c>
      <c r="AI10" s="22">
        <v>2027</v>
      </c>
      <c r="AJ10" s="23" t="e">
        <f t="shared" ca="1" si="17"/>
        <v>#NAME?</v>
      </c>
      <c r="AK10" s="23" t="e">
        <f t="shared" ca="1" si="18"/>
        <v>#NAME?</v>
      </c>
      <c r="AL10" s="23" t="e">
        <f t="shared" ca="1" si="19"/>
        <v>#NAME?</v>
      </c>
      <c r="AM10" s="23" t="e">
        <f t="shared" ca="1" si="20"/>
        <v>#NAME?</v>
      </c>
      <c r="AN10" s="23" t="e">
        <f t="array" aca="1" ref="AN10" ca="1">XLOOKUP(AI10&amp;12,$A$4:$A$176&amp;MONTH($C$4:$C$176),$AG$4:$AG$176)</f>
        <v>#NAME?</v>
      </c>
      <c r="AQ10" s="21">
        <f t="shared" si="21"/>
        <v>-8945.240341349785</v>
      </c>
      <c r="AR10" s="21">
        <f t="shared" si="22"/>
        <v>-8945.240341349785</v>
      </c>
    </row>
    <row r="11" spans="1:44" ht="14.5" x14ac:dyDescent="0.35">
      <c r="A11" s="5">
        <f t="shared" si="0"/>
        <v>2022</v>
      </c>
      <c r="B11" s="5" t="str">
        <f t="shared" si="1"/>
        <v>Q1</v>
      </c>
      <c r="C11" s="10">
        <v>44621</v>
      </c>
      <c r="D11" s="20"/>
      <c r="E11" s="20"/>
      <c r="F11" s="20"/>
      <c r="G11" s="20">
        <v>300</v>
      </c>
      <c r="H11" s="20"/>
      <c r="I11" s="20"/>
      <c r="J11" s="20"/>
      <c r="K11" s="20">
        <f t="shared" si="2"/>
        <v>8645.240341349785</v>
      </c>
      <c r="L11" s="20">
        <f>Financiamento!D20</f>
        <v>3845.9854837930779</v>
      </c>
      <c r="M11" s="20">
        <f>Financiamento!C20</f>
        <v>4799.2548575567071</v>
      </c>
      <c r="N11" s="20"/>
      <c r="O11" s="20"/>
      <c r="Q11" s="20">
        <f t="shared" si="3"/>
        <v>0</v>
      </c>
      <c r="R11" s="20">
        <f t="shared" si="4"/>
        <v>-300</v>
      </c>
      <c r="S11" s="20">
        <f t="shared" si="5"/>
        <v>-300</v>
      </c>
      <c r="T11" s="20"/>
      <c r="U11" s="20">
        <f t="shared" si="6"/>
        <v>-300</v>
      </c>
      <c r="V11" s="20">
        <f t="shared" si="7"/>
        <v>-4799.2548575567071</v>
      </c>
      <c r="W11" s="20">
        <f t="shared" si="8"/>
        <v>-5099.2548575567071</v>
      </c>
      <c r="X11" s="20">
        <f t="shared" si="9"/>
        <v>0</v>
      </c>
      <c r="Y11" s="20">
        <f t="shared" si="10"/>
        <v>-5099.2548575567071</v>
      </c>
      <c r="Z11" s="21"/>
      <c r="AA11" s="20">
        <f t="shared" si="11"/>
        <v>-300</v>
      </c>
      <c r="AB11" s="20">
        <f t="shared" si="12"/>
        <v>0</v>
      </c>
      <c r="AC11" s="20">
        <f t="shared" si="13"/>
        <v>0</v>
      </c>
      <c r="AD11" s="20">
        <f t="shared" si="14"/>
        <v>-8645.240341349785</v>
      </c>
      <c r="AE11" s="20">
        <f t="shared" si="15"/>
        <v>-8945.240341349785</v>
      </c>
      <c r="AF11" s="20">
        <f t="shared" si="23"/>
        <v>-62616.682389448484</v>
      </c>
      <c r="AG11" s="20">
        <f t="shared" si="16"/>
        <v>-71561.922730798266</v>
      </c>
      <c r="AI11" s="22">
        <v>2028</v>
      </c>
      <c r="AJ11" s="23" t="e">
        <f t="shared" ca="1" si="17"/>
        <v>#NAME?</v>
      </c>
      <c r="AK11" s="23" t="e">
        <f t="shared" ca="1" si="18"/>
        <v>#NAME?</v>
      </c>
      <c r="AL11" s="23" t="e">
        <f t="shared" ca="1" si="19"/>
        <v>#NAME?</v>
      </c>
      <c r="AM11" s="23" t="e">
        <f t="shared" ca="1" si="20"/>
        <v>#NAME?</v>
      </c>
      <c r="AN11" s="23" t="e">
        <f t="array" aca="1" ref="AN11" ca="1">XLOOKUP(AI11&amp;12,$A$4:$A$176&amp;MONTH($C$4:$C$176),$AG$4:$AG$176)</f>
        <v>#NAME?</v>
      </c>
      <c r="AQ11" s="21">
        <f t="shared" si="21"/>
        <v>-8945.240341349785</v>
      </c>
      <c r="AR11" s="21">
        <f t="shared" si="22"/>
        <v>-8945.240341349785</v>
      </c>
    </row>
    <row r="12" spans="1:44" ht="14.5" x14ac:dyDescent="0.35">
      <c r="A12" s="5">
        <f t="shared" si="0"/>
        <v>2022</v>
      </c>
      <c r="B12" s="5" t="str">
        <f t="shared" si="1"/>
        <v>Q2</v>
      </c>
      <c r="C12" s="10">
        <v>44652</v>
      </c>
      <c r="D12" s="20"/>
      <c r="E12" s="20"/>
      <c r="F12" s="20"/>
      <c r="G12" s="20">
        <v>300</v>
      </c>
      <c r="H12" s="20"/>
      <c r="I12" s="20"/>
      <c r="J12" s="20"/>
      <c r="K12" s="20">
        <f t="shared" si="2"/>
        <v>8645.240341349785</v>
      </c>
      <c r="L12" s="20">
        <f>Financiamento!D21</f>
        <v>3905.2136602434912</v>
      </c>
      <c r="M12" s="20">
        <f>Financiamento!C21</f>
        <v>4740.0266811062938</v>
      </c>
      <c r="N12" s="20"/>
      <c r="O12" s="20"/>
      <c r="Q12" s="20">
        <f t="shared" si="3"/>
        <v>0</v>
      </c>
      <c r="R12" s="20">
        <f t="shared" si="4"/>
        <v>-300</v>
      </c>
      <c r="S12" s="20">
        <f t="shared" si="5"/>
        <v>-300</v>
      </c>
      <c r="T12" s="20"/>
      <c r="U12" s="20">
        <f t="shared" si="6"/>
        <v>-300</v>
      </c>
      <c r="V12" s="20">
        <f t="shared" si="7"/>
        <v>-4740.0266811062938</v>
      </c>
      <c r="W12" s="20">
        <f t="shared" si="8"/>
        <v>-5040.0266811062938</v>
      </c>
      <c r="X12" s="20">
        <f t="shared" si="9"/>
        <v>0</v>
      </c>
      <c r="Y12" s="20">
        <f t="shared" si="10"/>
        <v>-5040.0266811062938</v>
      </c>
      <c r="Z12" s="21"/>
      <c r="AA12" s="20">
        <f t="shared" si="11"/>
        <v>-300</v>
      </c>
      <c r="AB12" s="20">
        <f t="shared" si="12"/>
        <v>0</v>
      </c>
      <c r="AC12" s="20">
        <f t="shared" si="13"/>
        <v>0</v>
      </c>
      <c r="AD12" s="20">
        <f t="shared" si="14"/>
        <v>-8645.240341349785</v>
      </c>
      <c r="AE12" s="20">
        <f t="shared" si="15"/>
        <v>-8945.240341349785</v>
      </c>
      <c r="AF12" s="20">
        <f t="shared" si="23"/>
        <v>-71561.922730798266</v>
      </c>
      <c r="AG12" s="20">
        <f t="shared" si="16"/>
        <v>-80507.163072148047</v>
      </c>
      <c r="AI12" s="22">
        <v>2029</v>
      </c>
      <c r="AJ12" s="23" t="e">
        <f t="shared" ca="1" si="17"/>
        <v>#NAME?</v>
      </c>
      <c r="AK12" s="23" t="e">
        <f t="shared" ca="1" si="18"/>
        <v>#NAME?</v>
      </c>
      <c r="AL12" s="23" t="e">
        <f t="shared" ca="1" si="19"/>
        <v>#NAME?</v>
      </c>
      <c r="AM12" s="23" t="e">
        <f t="shared" ca="1" si="20"/>
        <v>#NAME?</v>
      </c>
      <c r="AN12" s="23" t="e">
        <f t="array" aca="1" ref="AN12" ca="1">XLOOKUP(AI12&amp;12,$A$4:$A$176&amp;MONTH($C$4:$C$176),$AG$4:$AG$176)</f>
        <v>#NAME?</v>
      </c>
      <c r="AQ12" s="21">
        <f t="shared" si="21"/>
        <v>-8945.240341349785</v>
      </c>
      <c r="AR12" s="21">
        <f t="shared" si="22"/>
        <v>-8945.240341349785</v>
      </c>
    </row>
    <row r="13" spans="1:44" ht="14.5" x14ac:dyDescent="0.35">
      <c r="A13" s="5">
        <f t="shared" si="0"/>
        <v>2022</v>
      </c>
      <c r="B13" s="5" t="str">
        <f t="shared" si="1"/>
        <v>Q2</v>
      </c>
      <c r="C13" s="10">
        <v>44682</v>
      </c>
      <c r="D13" s="20"/>
      <c r="E13" s="20"/>
      <c r="F13" s="20"/>
      <c r="G13" s="20">
        <v>300</v>
      </c>
      <c r="H13" s="20"/>
      <c r="I13" s="20"/>
      <c r="J13" s="20"/>
      <c r="K13" s="20">
        <f t="shared" si="2"/>
        <v>8645.240341349785</v>
      </c>
      <c r="L13" s="20">
        <f>Financiamento!D22</f>
        <v>3965.3539506112411</v>
      </c>
      <c r="M13" s="20">
        <f>Financiamento!C22</f>
        <v>4679.8863907385439</v>
      </c>
      <c r="N13" s="20"/>
      <c r="O13" s="20"/>
      <c r="Q13" s="20">
        <f t="shared" si="3"/>
        <v>0</v>
      </c>
      <c r="R13" s="20">
        <f t="shared" si="4"/>
        <v>-300</v>
      </c>
      <c r="S13" s="20">
        <f t="shared" si="5"/>
        <v>-300</v>
      </c>
      <c r="T13" s="20"/>
      <c r="U13" s="20">
        <f t="shared" si="6"/>
        <v>-300</v>
      </c>
      <c r="V13" s="20">
        <f t="shared" si="7"/>
        <v>-4679.8863907385439</v>
      </c>
      <c r="W13" s="20">
        <f t="shared" si="8"/>
        <v>-4979.8863907385439</v>
      </c>
      <c r="X13" s="20">
        <f t="shared" si="9"/>
        <v>0</v>
      </c>
      <c r="Y13" s="20">
        <f t="shared" si="10"/>
        <v>-4979.8863907385439</v>
      </c>
      <c r="Z13" s="21"/>
      <c r="AA13" s="20">
        <f t="shared" si="11"/>
        <v>-300</v>
      </c>
      <c r="AB13" s="20">
        <f t="shared" si="12"/>
        <v>0</v>
      </c>
      <c r="AC13" s="20">
        <f t="shared" si="13"/>
        <v>0</v>
      </c>
      <c r="AD13" s="20">
        <f t="shared" si="14"/>
        <v>-8645.240341349785</v>
      </c>
      <c r="AE13" s="20">
        <f t="shared" si="15"/>
        <v>-8945.240341349785</v>
      </c>
      <c r="AF13" s="20">
        <f t="shared" si="23"/>
        <v>-80507.163072148047</v>
      </c>
      <c r="AG13" s="20">
        <f t="shared" si="16"/>
        <v>-89452.403413497828</v>
      </c>
      <c r="AI13" s="22">
        <v>2030</v>
      </c>
      <c r="AJ13" s="23" t="e">
        <f t="shared" ca="1" si="17"/>
        <v>#NAME?</v>
      </c>
      <c r="AK13" s="23" t="e">
        <f t="shared" ca="1" si="18"/>
        <v>#NAME?</v>
      </c>
      <c r="AL13" s="23" t="e">
        <f t="shared" ca="1" si="19"/>
        <v>#NAME?</v>
      </c>
      <c r="AM13" s="23" t="e">
        <f t="shared" ca="1" si="20"/>
        <v>#NAME?</v>
      </c>
      <c r="AN13" s="23" t="e">
        <f t="array" aca="1" ref="AN13" ca="1">XLOOKUP(AI13&amp;12,$A$4:$A$176&amp;MONTH($C$4:$C$176),$AG$4:$AG$176)</f>
        <v>#NAME?</v>
      </c>
      <c r="AQ13" s="21">
        <f t="shared" si="21"/>
        <v>-8945.240341349785</v>
      </c>
      <c r="AR13" s="21">
        <f t="shared" si="22"/>
        <v>-8945.240341349785</v>
      </c>
    </row>
    <row r="14" spans="1:44" ht="14.5" x14ac:dyDescent="0.35">
      <c r="A14" s="5">
        <f t="shared" si="0"/>
        <v>2022</v>
      </c>
      <c r="B14" s="5" t="str">
        <f t="shared" si="1"/>
        <v>Q2</v>
      </c>
      <c r="C14" s="10">
        <v>44713</v>
      </c>
      <c r="D14" s="20"/>
      <c r="E14" s="20"/>
      <c r="F14" s="20"/>
      <c r="G14" s="20">
        <v>300</v>
      </c>
      <c r="H14" s="20"/>
      <c r="I14" s="20"/>
      <c r="J14" s="20"/>
      <c r="K14" s="20">
        <f t="shared" si="2"/>
        <v>8645.240341349785</v>
      </c>
      <c r="L14" s="20">
        <f>Financiamento!D23</f>
        <v>4026.4204014506549</v>
      </c>
      <c r="M14" s="20">
        <f>Financiamento!C23</f>
        <v>4618.8199398991301</v>
      </c>
      <c r="N14" s="20"/>
      <c r="O14" s="20"/>
      <c r="Q14" s="20">
        <f t="shared" si="3"/>
        <v>0</v>
      </c>
      <c r="R14" s="20">
        <f t="shared" si="4"/>
        <v>-300</v>
      </c>
      <c r="S14" s="20">
        <f t="shared" si="5"/>
        <v>-300</v>
      </c>
      <c r="T14" s="20"/>
      <c r="U14" s="20">
        <f t="shared" si="6"/>
        <v>-300</v>
      </c>
      <c r="V14" s="20">
        <f t="shared" si="7"/>
        <v>-4618.8199398991301</v>
      </c>
      <c r="W14" s="20">
        <f t="shared" si="8"/>
        <v>-4918.8199398991301</v>
      </c>
      <c r="X14" s="20">
        <f t="shared" si="9"/>
        <v>0</v>
      </c>
      <c r="Y14" s="20">
        <f t="shared" si="10"/>
        <v>-4918.8199398991301</v>
      </c>
      <c r="Z14" s="21"/>
      <c r="AA14" s="20">
        <f t="shared" si="11"/>
        <v>-300</v>
      </c>
      <c r="AB14" s="20">
        <f t="shared" si="12"/>
        <v>0</v>
      </c>
      <c r="AC14" s="20">
        <f t="shared" si="13"/>
        <v>0</v>
      </c>
      <c r="AD14" s="20">
        <f t="shared" si="14"/>
        <v>-8645.240341349785</v>
      </c>
      <c r="AE14" s="20">
        <f t="shared" si="15"/>
        <v>-8945.240341349785</v>
      </c>
      <c r="AF14" s="20">
        <f t="shared" si="23"/>
        <v>-89452.403413497828</v>
      </c>
      <c r="AG14" s="20">
        <f t="shared" si="16"/>
        <v>-98397.64375484761</v>
      </c>
      <c r="AI14" s="22">
        <v>2031</v>
      </c>
      <c r="AJ14" s="23" t="e">
        <f t="shared" ca="1" si="17"/>
        <v>#NAME?</v>
      </c>
      <c r="AK14" s="23" t="e">
        <f t="shared" ca="1" si="18"/>
        <v>#NAME?</v>
      </c>
      <c r="AL14" s="23" t="e">
        <f t="shared" ca="1" si="19"/>
        <v>#NAME?</v>
      </c>
      <c r="AM14" s="23" t="e">
        <f t="shared" ca="1" si="20"/>
        <v>#NAME?</v>
      </c>
      <c r="AN14" s="23" t="e">
        <f t="array" aca="1" ref="AN14" ca="1">XLOOKUP(AI14&amp;12,$A$4:$A$176&amp;MONTH($C$4:$C$176),$AG$4:$AG$176)</f>
        <v>#NAME?</v>
      </c>
      <c r="AQ14" s="21">
        <f t="shared" si="21"/>
        <v>-8945.240341349785</v>
      </c>
      <c r="AR14" s="21">
        <f t="shared" si="22"/>
        <v>-8945.240341349785</v>
      </c>
    </row>
    <row r="15" spans="1:44" ht="14.5" x14ac:dyDescent="0.35">
      <c r="A15" s="5">
        <f t="shared" si="0"/>
        <v>2022</v>
      </c>
      <c r="B15" s="5" t="str">
        <f t="shared" si="1"/>
        <v>Q3</v>
      </c>
      <c r="C15" s="10">
        <v>44743</v>
      </c>
      <c r="D15" s="20"/>
      <c r="E15" s="20"/>
      <c r="F15" s="20"/>
      <c r="G15" s="20">
        <v>300</v>
      </c>
      <c r="H15" s="20"/>
      <c r="I15" s="20"/>
      <c r="J15" s="20"/>
      <c r="K15" s="20">
        <f t="shared" si="2"/>
        <v>8645.240341349785</v>
      </c>
      <c r="L15" s="20">
        <f>Financiamento!D24</f>
        <v>4088.4272756329947</v>
      </c>
      <c r="M15" s="20">
        <f>Financiamento!C24</f>
        <v>4556.8130657167903</v>
      </c>
      <c r="N15" s="20"/>
      <c r="O15" s="20"/>
      <c r="Q15" s="20">
        <f t="shared" si="3"/>
        <v>0</v>
      </c>
      <c r="R15" s="20">
        <f t="shared" si="4"/>
        <v>-300</v>
      </c>
      <c r="S15" s="20">
        <f t="shared" si="5"/>
        <v>-300</v>
      </c>
      <c r="T15" s="20"/>
      <c r="U15" s="20">
        <f t="shared" si="6"/>
        <v>-300</v>
      </c>
      <c r="V15" s="20">
        <f t="shared" si="7"/>
        <v>-4556.8130657167903</v>
      </c>
      <c r="W15" s="20">
        <f t="shared" si="8"/>
        <v>-4856.8130657167903</v>
      </c>
      <c r="X15" s="20">
        <f t="shared" si="9"/>
        <v>0</v>
      </c>
      <c r="Y15" s="20">
        <f t="shared" si="10"/>
        <v>-4856.8130657167903</v>
      </c>
      <c r="Z15" s="21"/>
      <c r="AA15" s="20">
        <f t="shared" si="11"/>
        <v>-300</v>
      </c>
      <c r="AB15" s="20">
        <f t="shared" si="12"/>
        <v>0</v>
      </c>
      <c r="AC15" s="20">
        <f t="shared" si="13"/>
        <v>0</v>
      </c>
      <c r="AD15" s="20">
        <f t="shared" si="14"/>
        <v>-8645.240341349785</v>
      </c>
      <c r="AE15" s="20">
        <f t="shared" si="15"/>
        <v>-8945.240341349785</v>
      </c>
      <c r="AF15" s="20">
        <f t="shared" si="23"/>
        <v>-98397.64375484761</v>
      </c>
      <c r="AG15" s="20">
        <f t="shared" si="16"/>
        <v>-107342.88409619739</v>
      </c>
      <c r="AI15" s="22">
        <v>2032</v>
      </c>
      <c r="AJ15" s="23" t="e">
        <f t="shared" ca="1" si="17"/>
        <v>#NAME?</v>
      </c>
      <c r="AK15" s="23" t="e">
        <f t="shared" ca="1" si="18"/>
        <v>#NAME?</v>
      </c>
      <c r="AL15" s="23" t="e">
        <f t="shared" ca="1" si="19"/>
        <v>#NAME?</v>
      </c>
      <c r="AM15" s="23" t="e">
        <f t="shared" ca="1" si="20"/>
        <v>#NAME?</v>
      </c>
      <c r="AN15" s="23" t="e">
        <f t="array" aca="1" ref="AN15" ca="1">XLOOKUP(AI15&amp;12,$A$4:$A$176&amp;MONTH($C$4:$C$176),$AG$4:$AG$176)</f>
        <v>#NAME?</v>
      </c>
      <c r="AQ15" s="21">
        <f t="shared" si="21"/>
        <v>-8945.240341349785</v>
      </c>
      <c r="AR15" s="21">
        <f t="shared" si="22"/>
        <v>-8945.240341349785</v>
      </c>
    </row>
    <row r="16" spans="1:44" ht="14.5" x14ac:dyDescent="0.35">
      <c r="A16" s="5">
        <f t="shared" si="0"/>
        <v>2022</v>
      </c>
      <c r="B16" s="5" t="str">
        <f t="shared" si="1"/>
        <v>Q3</v>
      </c>
      <c r="C16" s="10">
        <v>44774</v>
      </c>
      <c r="D16" s="20"/>
      <c r="E16" s="20"/>
      <c r="F16" s="20"/>
      <c r="G16" s="20">
        <v>300</v>
      </c>
      <c r="H16" s="20"/>
      <c r="I16" s="20"/>
      <c r="J16" s="20"/>
      <c r="K16" s="20">
        <f t="shared" si="2"/>
        <v>8645.240341349785</v>
      </c>
      <c r="L16" s="20">
        <f>Financiamento!D25</f>
        <v>4151.3890556777424</v>
      </c>
      <c r="M16" s="20">
        <f>Financiamento!C25</f>
        <v>4493.8512856720426</v>
      </c>
      <c r="N16" s="20"/>
      <c r="O16" s="20"/>
      <c r="Q16" s="20">
        <f t="shared" si="3"/>
        <v>0</v>
      </c>
      <c r="R16" s="20">
        <f t="shared" si="4"/>
        <v>-300</v>
      </c>
      <c r="S16" s="20">
        <f t="shared" si="5"/>
        <v>-300</v>
      </c>
      <c r="T16" s="20"/>
      <c r="U16" s="20">
        <f t="shared" si="6"/>
        <v>-300</v>
      </c>
      <c r="V16" s="20">
        <f t="shared" si="7"/>
        <v>-4493.8512856720426</v>
      </c>
      <c r="W16" s="20">
        <f t="shared" si="8"/>
        <v>-4793.8512856720426</v>
      </c>
      <c r="X16" s="20">
        <f t="shared" si="9"/>
        <v>0</v>
      </c>
      <c r="Y16" s="20">
        <f t="shared" si="10"/>
        <v>-4793.8512856720426</v>
      </c>
      <c r="Z16" s="21"/>
      <c r="AA16" s="20">
        <f t="shared" si="11"/>
        <v>-300</v>
      </c>
      <c r="AB16" s="20">
        <f t="shared" si="12"/>
        <v>0</v>
      </c>
      <c r="AC16" s="20">
        <f t="shared" si="13"/>
        <v>0</v>
      </c>
      <c r="AD16" s="20">
        <f t="shared" si="14"/>
        <v>-8645.240341349785</v>
      </c>
      <c r="AE16" s="20">
        <f t="shared" si="15"/>
        <v>-8945.240341349785</v>
      </c>
      <c r="AF16" s="20">
        <f t="shared" si="23"/>
        <v>-107342.88409619739</v>
      </c>
      <c r="AG16" s="20">
        <f t="shared" si="16"/>
        <v>-116288.12443754717</v>
      </c>
      <c r="AI16" s="22">
        <v>2033</v>
      </c>
      <c r="AJ16" s="23" t="e">
        <f t="shared" ca="1" si="17"/>
        <v>#NAME?</v>
      </c>
      <c r="AK16" s="23" t="e">
        <f t="shared" ca="1" si="18"/>
        <v>#NAME?</v>
      </c>
      <c r="AL16" s="23" t="e">
        <f t="shared" ca="1" si="19"/>
        <v>#NAME?</v>
      </c>
      <c r="AM16" s="23" t="e">
        <f t="shared" ca="1" si="20"/>
        <v>#NAME?</v>
      </c>
      <c r="AN16" s="23" t="e">
        <f t="array" aca="1" ref="AN16" ca="1">XLOOKUP(AI16&amp;12,$A$4:$A$176&amp;MONTH($C$4:$C$176),$AG$4:$AG$176)</f>
        <v>#NAME?</v>
      </c>
      <c r="AQ16" s="21">
        <f t="shared" si="21"/>
        <v>-8945.240341349785</v>
      </c>
      <c r="AR16" s="21">
        <f t="shared" si="22"/>
        <v>-8945.240341349785</v>
      </c>
    </row>
    <row r="17" spans="1:44" ht="14.5" x14ac:dyDescent="0.35">
      <c r="A17" s="5">
        <f t="shared" si="0"/>
        <v>2022</v>
      </c>
      <c r="B17" s="5" t="str">
        <f t="shared" si="1"/>
        <v>Q3</v>
      </c>
      <c r="C17" s="10">
        <v>44805</v>
      </c>
      <c r="D17" s="20"/>
      <c r="E17" s="20"/>
      <c r="F17" s="20"/>
      <c r="G17" s="20">
        <v>300</v>
      </c>
      <c r="H17" s="20"/>
      <c r="I17" s="20"/>
      <c r="J17" s="20"/>
      <c r="K17" s="20">
        <f t="shared" si="2"/>
        <v>8645.240341349785</v>
      </c>
      <c r="L17" s="20">
        <f>Financiamento!D26</f>
        <v>4215.3204471351801</v>
      </c>
      <c r="M17" s="20">
        <f>Financiamento!C26</f>
        <v>4429.9198942146049</v>
      </c>
      <c r="N17" s="20"/>
      <c r="O17" s="20"/>
      <c r="Q17" s="20">
        <f t="shared" si="3"/>
        <v>0</v>
      </c>
      <c r="R17" s="20">
        <f t="shared" si="4"/>
        <v>-300</v>
      </c>
      <c r="S17" s="20">
        <f t="shared" si="5"/>
        <v>-300</v>
      </c>
      <c r="T17" s="20"/>
      <c r="U17" s="20">
        <f t="shared" si="6"/>
        <v>-300</v>
      </c>
      <c r="V17" s="20">
        <f t="shared" si="7"/>
        <v>-4429.9198942146049</v>
      </c>
      <c r="W17" s="20">
        <f t="shared" si="8"/>
        <v>-4729.9198942146049</v>
      </c>
      <c r="X17" s="20">
        <f t="shared" si="9"/>
        <v>0</v>
      </c>
      <c r="Y17" s="20">
        <f t="shared" si="10"/>
        <v>-4729.9198942146049</v>
      </c>
      <c r="Z17" s="21"/>
      <c r="AA17" s="20">
        <f t="shared" si="11"/>
        <v>-300</v>
      </c>
      <c r="AB17" s="20">
        <f t="shared" si="12"/>
        <v>0</v>
      </c>
      <c r="AC17" s="20">
        <f t="shared" si="13"/>
        <v>0</v>
      </c>
      <c r="AD17" s="20">
        <f t="shared" si="14"/>
        <v>-8645.240341349785</v>
      </c>
      <c r="AE17" s="20">
        <f t="shared" si="15"/>
        <v>-8945.240341349785</v>
      </c>
      <c r="AF17" s="20">
        <f t="shared" si="23"/>
        <v>-116288.12443754717</v>
      </c>
      <c r="AG17" s="20">
        <f t="shared" si="16"/>
        <v>-125233.36477889695</v>
      </c>
      <c r="AI17" s="22">
        <v>2034</v>
      </c>
      <c r="AJ17" s="23" t="e">
        <f t="shared" ca="1" si="17"/>
        <v>#NAME?</v>
      </c>
      <c r="AK17" s="23" t="e">
        <f t="shared" ca="1" si="18"/>
        <v>#NAME?</v>
      </c>
      <c r="AL17" s="23" t="e">
        <f t="shared" ca="1" si="19"/>
        <v>#NAME?</v>
      </c>
      <c r="AM17" s="23" t="e">
        <f t="shared" ca="1" si="20"/>
        <v>#NAME?</v>
      </c>
      <c r="AN17" s="23" t="e">
        <f t="array" aca="1" ref="AN17" ca="1">XLOOKUP(AI17&amp;12,$A$4:$A$176&amp;MONTH($C$4:$C$176),$AG$4:$AG$176)</f>
        <v>#NAME?</v>
      </c>
      <c r="AQ17" s="21">
        <f t="shared" si="21"/>
        <v>-8945.240341349785</v>
      </c>
      <c r="AR17" s="21">
        <f t="shared" si="22"/>
        <v>-8945.240341349785</v>
      </c>
    </row>
    <row r="18" spans="1:44" ht="14.5" x14ac:dyDescent="0.35">
      <c r="A18" s="5">
        <f t="shared" si="0"/>
        <v>2022</v>
      </c>
      <c r="B18" s="5" t="str">
        <f t="shared" si="1"/>
        <v>Q4</v>
      </c>
      <c r="C18" s="10">
        <v>44835</v>
      </c>
      <c r="D18" s="20"/>
      <c r="E18" s="20"/>
      <c r="F18" s="20"/>
      <c r="G18" s="20">
        <v>300</v>
      </c>
      <c r="H18" s="20"/>
      <c r="I18" s="20"/>
      <c r="J18" s="20"/>
      <c r="K18" s="20">
        <f t="shared" si="2"/>
        <v>8645.240341349785</v>
      </c>
      <c r="L18" s="20">
        <f>Financiamento!D27</f>
        <v>4280.2363820210621</v>
      </c>
      <c r="M18" s="20">
        <f>Financiamento!C27</f>
        <v>4365.0039593287229</v>
      </c>
      <c r="N18" s="20"/>
      <c r="O18" s="20"/>
      <c r="Q18" s="20">
        <f t="shared" si="3"/>
        <v>0</v>
      </c>
      <c r="R18" s="20">
        <f t="shared" si="4"/>
        <v>-300</v>
      </c>
      <c r="S18" s="20">
        <f t="shared" si="5"/>
        <v>-300</v>
      </c>
      <c r="T18" s="20"/>
      <c r="U18" s="20">
        <f t="shared" si="6"/>
        <v>-300</v>
      </c>
      <c r="V18" s="20">
        <f t="shared" si="7"/>
        <v>-4365.0039593287229</v>
      </c>
      <c r="W18" s="20">
        <f t="shared" si="8"/>
        <v>-4665.0039593287229</v>
      </c>
      <c r="X18" s="20">
        <f t="shared" si="9"/>
        <v>0</v>
      </c>
      <c r="Y18" s="20">
        <f t="shared" si="10"/>
        <v>-4665.0039593287229</v>
      </c>
      <c r="Z18" s="21"/>
      <c r="AA18" s="20">
        <f t="shared" si="11"/>
        <v>-300</v>
      </c>
      <c r="AB18" s="20">
        <f t="shared" si="12"/>
        <v>0</v>
      </c>
      <c r="AC18" s="20">
        <f t="shared" si="13"/>
        <v>0</v>
      </c>
      <c r="AD18" s="20">
        <f t="shared" si="14"/>
        <v>-8645.240341349785</v>
      </c>
      <c r="AE18" s="20">
        <f t="shared" si="15"/>
        <v>-8945.240341349785</v>
      </c>
      <c r="AF18" s="20">
        <f t="shared" si="23"/>
        <v>-125233.36477889695</v>
      </c>
      <c r="AG18" s="20">
        <f t="shared" si="16"/>
        <v>-134178.60512024674</v>
      </c>
      <c r="AI18" s="22">
        <v>2035</v>
      </c>
      <c r="AJ18" s="23" t="e">
        <f t="shared" ca="1" si="17"/>
        <v>#NAME?</v>
      </c>
      <c r="AK18" s="23" t="e">
        <f t="shared" ca="1" si="18"/>
        <v>#NAME?</v>
      </c>
      <c r="AL18" s="23" t="e">
        <f t="shared" ca="1" si="19"/>
        <v>#NAME?</v>
      </c>
      <c r="AM18" s="23" t="e">
        <f t="shared" ca="1" si="20"/>
        <v>#NAME?</v>
      </c>
      <c r="AN18" s="23" t="e">
        <f t="array" aca="1" ref="AN18" ca="1">XLOOKUP(AI18&amp;12,$A$4:$A$176&amp;MONTH($C$4:$C$176),$AG$4:$AG$176)</f>
        <v>#NAME?</v>
      </c>
      <c r="AQ18" s="21">
        <f t="shared" si="21"/>
        <v>-8945.240341349785</v>
      </c>
      <c r="AR18" s="21">
        <f t="shared" si="22"/>
        <v>-8945.240341349785</v>
      </c>
    </row>
    <row r="19" spans="1:44" ht="14.5" x14ac:dyDescent="0.35">
      <c r="A19" s="5">
        <f t="shared" si="0"/>
        <v>2022</v>
      </c>
      <c r="B19" s="5" t="str">
        <f t="shared" si="1"/>
        <v>Q4</v>
      </c>
      <c r="C19" s="10">
        <v>44866</v>
      </c>
      <c r="D19" s="20"/>
      <c r="E19" s="20"/>
      <c r="F19" s="20"/>
      <c r="G19" s="20">
        <v>300</v>
      </c>
      <c r="H19" s="20"/>
      <c r="I19" s="20"/>
      <c r="J19" s="20"/>
      <c r="K19" s="20">
        <f t="shared" si="2"/>
        <v>8645.240341349785</v>
      </c>
      <c r="L19" s="20">
        <f>Financiamento!D28</f>
        <v>4346.1520223041862</v>
      </c>
      <c r="M19" s="20">
        <f>Financiamento!C28</f>
        <v>4299.0883190455988</v>
      </c>
      <c r="N19" s="20"/>
      <c r="O19" s="20"/>
      <c r="Q19" s="20">
        <f t="shared" si="3"/>
        <v>0</v>
      </c>
      <c r="R19" s="20">
        <f t="shared" si="4"/>
        <v>-300</v>
      </c>
      <c r="S19" s="20">
        <f t="shared" si="5"/>
        <v>-300</v>
      </c>
      <c r="T19" s="20"/>
      <c r="U19" s="20">
        <f t="shared" si="6"/>
        <v>-300</v>
      </c>
      <c r="V19" s="20">
        <f t="shared" si="7"/>
        <v>-4299.0883190455988</v>
      </c>
      <c r="W19" s="20">
        <f t="shared" si="8"/>
        <v>-4599.0883190455988</v>
      </c>
      <c r="X19" s="20">
        <f t="shared" si="9"/>
        <v>0</v>
      </c>
      <c r="Y19" s="20">
        <f t="shared" si="10"/>
        <v>-4599.0883190455988</v>
      </c>
      <c r="Z19" s="21"/>
      <c r="AA19" s="20">
        <f t="shared" si="11"/>
        <v>-300</v>
      </c>
      <c r="AB19" s="20">
        <f t="shared" si="12"/>
        <v>0</v>
      </c>
      <c r="AC19" s="20">
        <f t="shared" si="13"/>
        <v>0</v>
      </c>
      <c r="AD19" s="20">
        <f t="shared" si="14"/>
        <v>-8645.240341349785</v>
      </c>
      <c r="AE19" s="20">
        <f t="shared" si="15"/>
        <v>-8945.240341349785</v>
      </c>
      <c r="AF19" s="20">
        <f t="shared" si="23"/>
        <v>-134178.60512024674</v>
      </c>
      <c r="AG19" s="20">
        <f t="shared" si="16"/>
        <v>-143123.84546159653</v>
      </c>
      <c r="AQ19" s="21">
        <f t="shared" si="21"/>
        <v>-8945.240341349785</v>
      </c>
      <c r="AR19" s="21">
        <f t="shared" si="22"/>
        <v>-8945.240341349785</v>
      </c>
    </row>
    <row r="20" spans="1:44" ht="14.5" x14ac:dyDescent="0.35">
      <c r="A20" s="5">
        <f t="shared" si="0"/>
        <v>2022</v>
      </c>
      <c r="B20" s="5" t="str">
        <f t="shared" si="1"/>
        <v>Q4</v>
      </c>
      <c r="C20" s="10">
        <v>44896</v>
      </c>
      <c r="D20" s="20"/>
      <c r="E20" s="20"/>
      <c r="F20" s="20"/>
      <c r="G20" s="20">
        <v>300</v>
      </c>
      <c r="H20" s="20"/>
      <c r="I20" s="20"/>
      <c r="J20" s="20"/>
      <c r="K20" s="20">
        <f t="shared" si="2"/>
        <v>8645.240341349785</v>
      </c>
      <c r="L20" s="20">
        <f>Financiamento!D29</f>
        <v>4413.08276344767</v>
      </c>
      <c r="M20" s="20">
        <f>Financiamento!C29</f>
        <v>4232.157577902115</v>
      </c>
      <c r="N20" s="20"/>
      <c r="O20" s="20"/>
      <c r="Q20" s="20">
        <f t="shared" si="3"/>
        <v>0</v>
      </c>
      <c r="R20" s="20">
        <f t="shared" si="4"/>
        <v>-300</v>
      </c>
      <c r="S20" s="20">
        <f t="shared" si="5"/>
        <v>-300</v>
      </c>
      <c r="T20" s="20"/>
      <c r="U20" s="20">
        <f t="shared" si="6"/>
        <v>-300</v>
      </c>
      <c r="V20" s="20">
        <f t="shared" si="7"/>
        <v>-4232.157577902115</v>
      </c>
      <c r="W20" s="20">
        <f t="shared" si="8"/>
        <v>-4532.157577902115</v>
      </c>
      <c r="X20" s="20">
        <f t="shared" si="9"/>
        <v>0</v>
      </c>
      <c r="Y20" s="20">
        <f t="shared" si="10"/>
        <v>-4532.157577902115</v>
      </c>
      <c r="Z20" s="21"/>
      <c r="AA20" s="20">
        <f t="shared" si="11"/>
        <v>-300</v>
      </c>
      <c r="AB20" s="20">
        <f t="shared" si="12"/>
        <v>0</v>
      </c>
      <c r="AC20" s="20">
        <f t="shared" si="13"/>
        <v>0</v>
      </c>
      <c r="AD20" s="20">
        <f t="shared" si="14"/>
        <v>-8645.240341349785</v>
      </c>
      <c r="AE20" s="20">
        <f t="shared" si="15"/>
        <v>-8945.240341349785</v>
      </c>
      <c r="AF20" s="20">
        <f t="shared" si="23"/>
        <v>-143123.84546159653</v>
      </c>
      <c r="AG20" s="20">
        <f t="shared" si="16"/>
        <v>-152069.08580294633</v>
      </c>
      <c r="AM20" s="16"/>
      <c r="AQ20" s="21">
        <f t="shared" si="21"/>
        <v>-8945.240341349785</v>
      </c>
      <c r="AR20" s="21">
        <f t="shared" si="22"/>
        <v>-8945.240341349785</v>
      </c>
    </row>
    <row r="21" spans="1:44" ht="15.75" customHeight="1" x14ac:dyDescent="0.35">
      <c r="A21" s="5">
        <f t="shared" si="0"/>
        <v>2023</v>
      </c>
      <c r="B21" s="5" t="str">
        <f t="shared" si="1"/>
        <v>Q1</v>
      </c>
      <c r="C21" s="10">
        <v>44927</v>
      </c>
      <c r="D21" s="20"/>
      <c r="E21" s="20"/>
      <c r="F21" s="20"/>
      <c r="G21" s="20">
        <v>300</v>
      </c>
      <c r="H21" s="20"/>
      <c r="I21" s="20"/>
      <c r="J21" s="20"/>
      <c r="K21" s="20">
        <f t="shared" si="2"/>
        <v>8645.240341349785</v>
      </c>
      <c r="L21" s="20">
        <f>Financiamento!D30</f>
        <v>4481.0442380047643</v>
      </c>
      <c r="M21" s="20">
        <f>Financiamento!C30</f>
        <v>4164.1961033450207</v>
      </c>
      <c r="N21" s="20"/>
      <c r="O21" s="20"/>
      <c r="Q21" s="20">
        <f t="shared" si="3"/>
        <v>0</v>
      </c>
      <c r="R21" s="20">
        <f t="shared" si="4"/>
        <v>-300</v>
      </c>
      <c r="S21" s="20">
        <f t="shared" si="5"/>
        <v>-300</v>
      </c>
      <c r="T21" s="20"/>
      <c r="U21" s="20">
        <f t="shared" si="6"/>
        <v>-300</v>
      </c>
      <c r="V21" s="20">
        <f t="shared" si="7"/>
        <v>-4164.1961033450207</v>
      </c>
      <c r="W21" s="20">
        <f t="shared" si="8"/>
        <v>-4464.1961033450207</v>
      </c>
      <c r="X21" s="20">
        <f t="shared" si="9"/>
        <v>0</v>
      </c>
      <c r="Y21" s="20">
        <f t="shared" si="10"/>
        <v>-4464.1961033450207</v>
      </c>
      <c r="Z21" s="8"/>
      <c r="AA21" s="20">
        <f t="shared" si="11"/>
        <v>-300</v>
      </c>
      <c r="AB21" s="20">
        <f t="shared" si="12"/>
        <v>0</v>
      </c>
      <c r="AC21" s="20">
        <f t="shared" si="13"/>
        <v>0</v>
      </c>
      <c r="AD21" s="20">
        <f t="shared" si="14"/>
        <v>-8645.240341349785</v>
      </c>
      <c r="AE21" s="20">
        <f t="shared" si="15"/>
        <v>-8945.240341349785</v>
      </c>
      <c r="AF21" s="20">
        <f t="shared" si="23"/>
        <v>-152069.08580294633</v>
      </c>
      <c r="AG21" s="20">
        <f t="shared" si="16"/>
        <v>-161014.32614429612</v>
      </c>
      <c r="AQ21" s="21">
        <f t="shared" si="21"/>
        <v>-8945.240341349785</v>
      </c>
      <c r="AR21" s="21">
        <f t="shared" si="22"/>
        <v>-8945.240341349785</v>
      </c>
    </row>
    <row r="22" spans="1:44" ht="15.75" customHeight="1" x14ac:dyDescent="0.35">
      <c r="A22" s="5">
        <f t="shared" si="0"/>
        <v>2023</v>
      </c>
      <c r="B22" s="5" t="str">
        <f t="shared" si="1"/>
        <v>Q1</v>
      </c>
      <c r="C22" s="10">
        <v>44958</v>
      </c>
      <c r="D22" s="20"/>
      <c r="E22" s="20"/>
      <c r="F22" s="20"/>
      <c r="G22" s="20">
        <v>300</v>
      </c>
      <c r="H22" s="20"/>
      <c r="I22" s="20"/>
      <c r="J22" s="20"/>
      <c r="K22" s="20">
        <f t="shared" si="2"/>
        <v>8645.240341349785</v>
      </c>
      <c r="L22" s="20">
        <f>Financiamento!D31</f>
        <v>4550.0523192700384</v>
      </c>
      <c r="M22" s="20">
        <f>Financiamento!C31</f>
        <v>4095.188022079747</v>
      </c>
      <c r="N22" s="20"/>
      <c r="O22" s="20"/>
      <c r="Q22" s="20">
        <f t="shared" si="3"/>
        <v>0</v>
      </c>
      <c r="R22" s="20">
        <f t="shared" si="4"/>
        <v>-300</v>
      </c>
      <c r="S22" s="20">
        <f t="shared" si="5"/>
        <v>-300</v>
      </c>
      <c r="T22" s="20"/>
      <c r="U22" s="20">
        <f t="shared" si="6"/>
        <v>-300</v>
      </c>
      <c r="V22" s="20">
        <f t="shared" si="7"/>
        <v>-4095.188022079747</v>
      </c>
      <c r="W22" s="20">
        <f t="shared" si="8"/>
        <v>-4395.1880220797466</v>
      </c>
      <c r="X22" s="20">
        <f t="shared" si="9"/>
        <v>0</v>
      </c>
      <c r="Y22" s="20">
        <f t="shared" si="10"/>
        <v>-4395.1880220797466</v>
      </c>
      <c r="Z22" s="21"/>
      <c r="AA22" s="20">
        <f t="shared" si="11"/>
        <v>-300</v>
      </c>
      <c r="AB22" s="20">
        <f t="shared" si="12"/>
        <v>0</v>
      </c>
      <c r="AC22" s="20">
        <f t="shared" si="13"/>
        <v>0</v>
      </c>
      <c r="AD22" s="20">
        <f t="shared" si="14"/>
        <v>-8645.240341349785</v>
      </c>
      <c r="AE22" s="20">
        <f t="shared" si="15"/>
        <v>-8945.240341349785</v>
      </c>
      <c r="AF22" s="20">
        <f t="shared" si="23"/>
        <v>-161014.32614429612</v>
      </c>
      <c r="AG22" s="20">
        <f t="shared" si="16"/>
        <v>-169959.56648564592</v>
      </c>
      <c r="AQ22" s="21">
        <f t="shared" si="21"/>
        <v>-8945.240341349785</v>
      </c>
      <c r="AR22" s="21">
        <f t="shared" si="22"/>
        <v>-8945.240341349785</v>
      </c>
    </row>
    <row r="23" spans="1:44" ht="15.75" customHeight="1" x14ac:dyDescent="0.35">
      <c r="A23" s="5">
        <f t="shared" si="0"/>
        <v>2023</v>
      </c>
      <c r="B23" s="5" t="str">
        <f t="shared" si="1"/>
        <v>Q1</v>
      </c>
      <c r="C23" s="10">
        <v>44986</v>
      </c>
      <c r="D23" s="20">
        <f>DRE!D23</f>
        <v>6633.9299650000003</v>
      </c>
      <c r="E23" s="20"/>
      <c r="F23" s="20"/>
      <c r="G23" s="20">
        <v>300</v>
      </c>
      <c r="H23" s="20"/>
      <c r="I23" s="20"/>
      <c r="J23" s="20">
        <f t="shared" ref="J23:J57" si="24">D23*6%</f>
        <v>398.03579789999998</v>
      </c>
      <c r="K23" s="20">
        <f t="shared" si="2"/>
        <v>8645.240341349785</v>
      </c>
      <c r="L23" s="20">
        <f>Financiamento!D32</f>
        <v>4620.123124986796</v>
      </c>
      <c r="M23" s="20">
        <f>Financiamento!C32</f>
        <v>4025.1172163629885</v>
      </c>
      <c r="N23" s="20"/>
      <c r="O23" s="20"/>
      <c r="Q23" s="20">
        <f t="shared" si="3"/>
        <v>6633.9299650000003</v>
      </c>
      <c r="R23" s="20">
        <f t="shared" si="4"/>
        <v>-300</v>
      </c>
      <c r="S23" s="20">
        <f t="shared" si="5"/>
        <v>6333.9299650000003</v>
      </c>
      <c r="T23" s="20"/>
      <c r="U23" s="20">
        <f t="shared" si="6"/>
        <v>6333.9299650000003</v>
      </c>
      <c r="V23" s="20">
        <f t="shared" si="7"/>
        <v>-4025.1172163629885</v>
      </c>
      <c r="W23" s="20">
        <f t="shared" si="8"/>
        <v>2308.8127486370117</v>
      </c>
      <c r="X23" s="20">
        <f t="shared" si="9"/>
        <v>-398.03579789999998</v>
      </c>
      <c r="Y23" s="20">
        <f t="shared" si="10"/>
        <v>1910.7769507370117</v>
      </c>
      <c r="Z23" s="21"/>
      <c r="AA23" s="20">
        <f t="shared" si="11"/>
        <v>6333.9299650000003</v>
      </c>
      <c r="AB23" s="20">
        <f t="shared" si="12"/>
        <v>0</v>
      </c>
      <c r="AC23" s="20">
        <f t="shared" si="13"/>
        <v>0</v>
      </c>
      <c r="AD23" s="20">
        <f t="shared" si="14"/>
        <v>-8645.240341349785</v>
      </c>
      <c r="AE23" s="20">
        <f t="shared" si="15"/>
        <v>-2311.3103763497847</v>
      </c>
      <c r="AF23" s="20">
        <f t="shared" si="23"/>
        <v>-169959.56648564592</v>
      </c>
      <c r="AG23" s="20">
        <f t="shared" si="16"/>
        <v>-172270.8768619957</v>
      </c>
      <c r="AQ23" s="21">
        <f t="shared" si="21"/>
        <v>-2311.3103763497847</v>
      </c>
      <c r="AR23" s="21">
        <f t="shared" si="22"/>
        <v>-2311.3103763497847</v>
      </c>
    </row>
    <row r="24" spans="1:44" ht="15.75" customHeight="1" x14ac:dyDescent="0.35">
      <c r="A24" s="5">
        <f t="shared" si="0"/>
        <v>2023</v>
      </c>
      <c r="B24" s="5" t="str">
        <f t="shared" si="1"/>
        <v>Q2</v>
      </c>
      <c r="C24" s="10">
        <v>45017</v>
      </c>
      <c r="D24" s="20">
        <f>DRE!D24</f>
        <v>4801.7426960000003</v>
      </c>
      <c r="E24" s="20"/>
      <c r="F24" s="20"/>
      <c r="G24" s="20">
        <v>300</v>
      </c>
      <c r="H24" s="20"/>
      <c r="I24" s="20"/>
      <c r="J24" s="20">
        <f t="shared" si="24"/>
        <v>288.10456176000002</v>
      </c>
      <c r="K24" s="20">
        <f t="shared" si="2"/>
        <v>8645.240341349785</v>
      </c>
      <c r="L24" s="20">
        <f>Financiamento!D33</f>
        <v>4691.2730211115932</v>
      </c>
      <c r="M24" s="20">
        <f>Financiamento!C33</f>
        <v>3953.9673202381919</v>
      </c>
      <c r="N24" s="20"/>
      <c r="O24" s="20"/>
      <c r="Q24" s="20">
        <f t="shared" si="3"/>
        <v>4801.7426960000003</v>
      </c>
      <c r="R24" s="20">
        <f t="shared" si="4"/>
        <v>-300</v>
      </c>
      <c r="S24" s="20">
        <f t="shared" si="5"/>
        <v>4501.7426960000003</v>
      </c>
      <c r="T24" s="20"/>
      <c r="U24" s="20">
        <f t="shared" si="6"/>
        <v>4501.7426960000003</v>
      </c>
      <c r="V24" s="20">
        <f t="shared" si="7"/>
        <v>-3953.9673202381919</v>
      </c>
      <c r="W24" s="20">
        <f t="shared" si="8"/>
        <v>547.77537576180839</v>
      </c>
      <c r="X24" s="20">
        <f t="shared" si="9"/>
        <v>-288.10456176000002</v>
      </c>
      <c r="Y24" s="20">
        <f t="shared" si="10"/>
        <v>259.67081400180837</v>
      </c>
      <c r="Z24" s="21"/>
      <c r="AA24" s="20">
        <f t="shared" si="11"/>
        <v>4501.7426960000003</v>
      </c>
      <c r="AB24" s="20">
        <f t="shared" si="12"/>
        <v>0</v>
      </c>
      <c r="AC24" s="20">
        <f t="shared" si="13"/>
        <v>0</v>
      </c>
      <c r="AD24" s="20">
        <f t="shared" si="14"/>
        <v>-8645.240341349785</v>
      </c>
      <c r="AE24" s="20">
        <f t="shared" si="15"/>
        <v>-4143.4976453497848</v>
      </c>
      <c r="AF24" s="20">
        <f t="shared" si="23"/>
        <v>-172270.8768619957</v>
      </c>
      <c r="AG24" s="20">
        <f t="shared" si="16"/>
        <v>-176414.37450734549</v>
      </c>
      <c r="AQ24" s="21">
        <f t="shared" si="21"/>
        <v>-4143.4976453497848</v>
      </c>
      <c r="AR24" s="21">
        <f t="shared" si="22"/>
        <v>-4143.4976453497848</v>
      </c>
    </row>
    <row r="25" spans="1:44" ht="15.75" customHeight="1" x14ac:dyDescent="0.35">
      <c r="A25" s="5">
        <f t="shared" si="0"/>
        <v>2023</v>
      </c>
      <c r="B25" s="5" t="str">
        <f t="shared" si="1"/>
        <v>Q2</v>
      </c>
      <c r="C25" s="10">
        <v>45047</v>
      </c>
      <c r="D25" s="20">
        <f>DRE!D25</f>
        <v>5583.9063878799998</v>
      </c>
      <c r="E25" s="20"/>
      <c r="F25" s="20"/>
      <c r="G25" s="20">
        <v>300</v>
      </c>
      <c r="H25" s="20"/>
      <c r="I25" s="20"/>
      <c r="J25" s="20">
        <f t="shared" si="24"/>
        <v>335.03438327279997</v>
      </c>
      <c r="K25" s="20">
        <f t="shared" si="2"/>
        <v>8645.240341349785</v>
      </c>
      <c r="L25" s="20">
        <f>Financiamento!D34</f>
        <v>4763.5186256367115</v>
      </c>
      <c r="M25" s="20">
        <f>Financiamento!C34</f>
        <v>3881.7217157130735</v>
      </c>
      <c r="N25" s="20"/>
      <c r="O25" s="20"/>
      <c r="Q25" s="20">
        <f t="shared" si="3"/>
        <v>5583.9063878799998</v>
      </c>
      <c r="R25" s="20">
        <f t="shared" si="4"/>
        <v>-300</v>
      </c>
      <c r="S25" s="20">
        <f t="shared" si="5"/>
        <v>5283.9063878799998</v>
      </c>
      <c r="T25" s="20"/>
      <c r="U25" s="20">
        <f t="shared" si="6"/>
        <v>5283.9063878799998</v>
      </c>
      <c r="V25" s="20">
        <f t="shared" si="7"/>
        <v>-3881.7217157130735</v>
      </c>
      <c r="W25" s="20">
        <f t="shared" si="8"/>
        <v>1402.1846721669262</v>
      </c>
      <c r="X25" s="20">
        <f t="shared" si="9"/>
        <v>-335.03438327279997</v>
      </c>
      <c r="Y25" s="20">
        <f t="shared" si="10"/>
        <v>1067.1502888941263</v>
      </c>
      <c r="Z25" s="21"/>
      <c r="AA25" s="20">
        <f t="shared" si="11"/>
        <v>5283.9063878799998</v>
      </c>
      <c r="AB25" s="20">
        <f t="shared" si="12"/>
        <v>0</v>
      </c>
      <c r="AC25" s="20">
        <f t="shared" si="13"/>
        <v>0</v>
      </c>
      <c r="AD25" s="20">
        <f t="shared" si="14"/>
        <v>-8645.240341349785</v>
      </c>
      <c r="AE25" s="20">
        <f t="shared" si="15"/>
        <v>-3361.3339534697852</v>
      </c>
      <c r="AF25" s="20">
        <f t="shared" si="23"/>
        <v>-176414.37450734549</v>
      </c>
      <c r="AG25" s="20">
        <f t="shared" si="16"/>
        <v>-179775.70846081528</v>
      </c>
      <c r="AQ25" s="21">
        <f t="shared" si="21"/>
        <v>-3361.3339534697852</v>
      </c>
      <c r="AR25" s="21">
        <f t="shared" si="22"/>
        <v>-3361.3339534697852</v>
      </c>
    </row>
    <row r="26" spans="1:44" ht="15.75" customHeight="1" x14ac:dyDescent="0.35">
      <c r="A26" s="5">
        <f t="shared" si="0"/>
        <v>2023</v>
      </c>
      <c r="B26" s="5" t="str">
        <f t="shared" si="1"/>
        <v>Q2</v>
      </c>
      <c r="C26" s="10">
        <v>45078</v>
      </c>
      <c r="D26" s="20">
        <f>DRE!D26</f>
        <v>4018.4621670000001</v>
      </c>
      <c r="E26" s="20"/>
      <c r="F26" s="20"/>
      <c r="G26" s="20">
        <v>300</v>
      </c>
      <c r="H26" s="20"/>
      <c r="I26" s="20"/>
      <c r="J26" s="20">
        <f t="shared" si="24"/>
        <v>241.10773001999999</v>
      </c>
      <c r="K26" s="20">
        <f t="shared" si="2"/>
        <v>8645.240341349785</v>
      </c>
      <c r="L26" s="20">
        <f>Financiamento!D35</f>
        <v>4836.876812471517</v>
      </c>
      <c r="M26" s="20">
        <f>Financiamento!C35</f>
        <v>3808.3635288782684</v>
      </c>
      <c r="N26" s="20"/>
      <c r="O26" s="20"/>
      <c r="Q26" s="20">
        <f t="shared" si="3"/>
        <v>4018.4621670000001</v>
      </c>
      <c r="R26" s="20">
        <f t="shared" si="4"/>
        <v>-300</v>
      </c>
      <c r="S26" s="20">
        <f t="shared" si="5"/>
        <v>3718.4621670000001</v>
      </c>
      <c r="T26" s="20"/>
      <c r="U26" s="20">
        <f t="shared" si="6"/>
        <v>3718.4621670000001</v>
      </c>
      <c r="V26" s="20">
        <f t="shared" si="7"/>
        <v>-3808.3635288782684</v>
      </c>
      <c r="W26" s="20">
        <f t="shared" si="8"/>
        <v>-89.90136187826829</v>
      </c>
      <c r="X26" s="20">
        <f t="shared" si="9"/>
        <v>-241.10773001999999</v>
      </c>
      <c r="Y26" s="20">
        <f t="shared" si="10"/>
        <v>-331.00909189826825</v>
      </c>
      <c r="Z26" s="21"/>
      <c r="AA26" s="20">
        <f t="shared" si="11"/>
        <v>3718.4621670000001</v>
      </c>
      <c r="AB26" s="20">
        <f t="shared" si="12"/>
        <v>0</v>
      </c>
      <c r="AC26" s="20">
        <f t="shared" si="13"/>
        <v>0</v>
      </c>
      <c r="AD26" s="20">
        <f t="shared" si="14"/>
        <v>-8645.240341349785</v>
      </c>
      <c r="AE26" s="20">
        <f t="shared" si="15"/>
        <v>-4926.7781743497853</v>
      </c>
      <c r="AF26" s="20">
        <f t="shared" si="23"/>
        <v>-179775.70846081528</v>
      </c>
      <c r="AG26" s="20">
        <f t="shared" si="16"/>
        <v>-184702.48663516506</v>
      </c>
      <c r="AQ26" s="21">
        <f t="shared" si="21"/>
        <v>-4926.7781743497853</v>
      </c>
      <c r="AR26" s="21">
        <f t="shared" si="22"/>
        <v>-4926.7781743497853</v>
      </c>
    </row>
    <row r="27" spans="1:44" ht="15.75" customHeight="1" x14ac:dyDescent="0.35">
      <c r="A27" s="5">
        <f t="shared" si="0"/>
        <v>2023</v>
      </c>
      <c r="B27" s="5" t="str">
        <f t="shared" si="1"/>
        <v>Q3</v>
      </c>
      <c r="C27" s="10">
        <v>45108</v>
      </c>
      <c r="D27" s="20">
        <f>DRE!D27</f>
        <v>3394.6011600000002</v>
      </c>
      <c r="E27" s="20"/>
      <c r="F27" s="20"/>
      <c r="G27" s="20">
        <v>300</v>
      </c>
      <c r="H27" s="20"/>
      <c r="I27" s="20"/>
      <c r="J27" s="20">
        <f t="shared" si="24"/>
        <v>203.67606960000001</v>
      </c>
      <c r="K27" s="20">
        <f t="shared" si="2"/>
        <v>8645.240341349785</v>
      </c>
      <c r="L27" s="20">
        <f>Financiamento!D36</f>
        <v>4911.3647153835773</v>
      </c>
      <c r="M27" s="20">
        <f>Financiamento!C36</f>
        <v>3733.8756259662073</v>
      </c>
      <c r="N27" s="20"/>
      <c r="O27" s="20"/>
      <c r="Q27" s="20">
        <f t="shared" si="3"/>
        <v>3394.6011600000002</v>
      </c>
      <c r="R27" s="20">
        <f t="shared" si="4"/>
        <v>-300</v>
      </c>
      <c r="S27" s="20">
        <f t="shared" si="5"/>
        <v>3094.6011600000002</v>
      </c>
      <c r="T27" s="20"/>
      <c r="U27" s="20">
        <f t="shared" si="6"/>
        <v>3094.6011600000002</v>
      </c>
      <c r="V27" s="20">
        <f t="shared" si="7"/>
        <v>-3733.8756259662073</v>
      </c>
      <c r="W27" s="20">
        <f t="shared" si="8"/>
        <v>-639.27446596620712</v>
      </c>
      <c r="X27" s="20">
        <f t="shared" si="9"/>
        <v>-203.67606960000001</v>
      </c>
      <c r="Y27" s="20">
        <f t="shared" si="10"/>
        <v>-842.95053556620712</v>
      </c>
      <c r="Z27" s="21"/>
      <c r="AA27" s="20">
        <f t="shared" si="11"/>
        <v>3094.6011600000002</v>
      </c>
      <c r="AB27" s="20">
        <f t="shared" si="12"/>
        <v>0</v>
      </c>
      <c r="AC27" s="20">
        <f t="shared" si="13"/>
        <v>0</v>
      </c>
      <c r="AD27" s="20">
        <f t="shared" si="14"/>
        <v>-8645.240341349785</v>
      </c>
      <c r="AE27" s="20">
        <f t="shared" si="15"/>
        <v>-5550.6391813497848</v>
      </c>
      <c r="AF27" s="20">
        <f t="shared" si="23"/>
        <v>-184702.48663516506</v>
      </c>
      <c r="AG27" s="20">
        <f t="shared" si="16"/>
        <v>-190253.12581651483</v>
      </c>
      <c r="AQ27" s="21">
        <f t="shared" si="21"/>
        <v>-5550.6391813497848</v>
      </c>
      <c r="AR27" s="21">
        <f t="shared" si="22"/>
        <v>-5550.6391813497848</v>
      </c>
    </row>
    <row r="28" spans="1:44" ht="15.75" customHeight="1" x14ac:dyDescent="0.35">
      <c r="A28" s="5">
        <f t="shared" si="0"/>
        <v>2023</v>
      </c>
      <c r="B28" s="5" t="str">
        <f t="shared" si="1"/>
        <v>Q3</v>
      </c>
      <c r="C28" s="10">
        <v>45139</v>
      </c>
      <c r="D28" s="20">
        <f>DRE!D28</f>
        <v>3812.6327249200003</v>
      </c>
      <c r="E28" s="20"/>
      <c r="F28" s="20">
        <v>1700</v>
      </c>
      <c r="G28" s="20">
        <v>300</v>
      </c>
      <c r="H28" s="20">
        <v>236.27</v>
      </c>
      <c r="I28" s="20"/>
      <c r="J28" s="20">
        <f t="shared" si="24"/>
        <v>228.75796349520002</v>
      </c>
      <c r="K28" s="20">
        <f t="shared" si="2"/>
        <v>8645.240341349785</v>
      </c>
      <c r="L28" s="20">
        <f>Financiamento!D37</f>
        <v>4986.9997320004859</v>
      </c>
      <c r="M28" s="20">
        <f>Financiamento!C37</f>
        <v>3658.2406093492996</v>
      </c>
      <c r="N28" s="20"/>
      <c r="O28" s="20"/>
      <c r="Q28" s="20">
        <f t="shared" si="3"/>
        <v>3812.6327249200003</v>
      </c>
      <c r="R28" s="20">
        <f t="shared" si="4"/>
        <v>-2236.27</v>
      </c>
      <c r="S28" s="20">
        <f t="shared" si="5"/>
        <v>1576.3627249200003</v>
      </c>
      <c r="T28" s="20"/>
      <c r="U28" s="20">
        <f t="shared" si="6"/>
        <v>1576.3627249200003</v>
      </c>
      <c r="V28" s="20">
        <f t="shared" si="7"/>
        <v>-3658.2406093492996</v>
      </c>
      <c r="W28" s="20">
        <f t="shared" si="8"/>
        <v>-2081.8778844292992</v>
      </c>
      <c r="X28" s="20">
        <f t="shared" si="9"/>
        <v>-228.75796349520002</v>
      </c>
      <c r="Y28" s="20">
        <f t="shared" si="10"/>
        <v>-2310.6358479244991</v>
      </c>
      <c r="Z28" s="21"/>
      <c r="AA28" s="20">
        <f t="shared" si="11"/>
        <v>1576.3627249200003</v>
      </c>
      <c r="AB28" s="20">
        <f t="shared" si="12"/>
        <v>0</v>
      </c>
      <c r="AC28" s="20">
        <f t="shared" si="13"/>
        <v>0</v>
      </c>
      <c r="AD28" s="20">
        <f t="shared" si="14"/>
        <v>-8645.240341349785</v>
      </c>
      <c r="AE28" s="20">
        <f t="shared" si="15"/>
        <v>-7068.8776164297851</v>
      </c>
      <c r="AF28" s="20">
        <f t="shared" si="23"/>
        <v>-190253.12581651483</v>
      </c>
      <c r="AG28" s="20">
        <f t="shared" si="16"/>
        <v>-197322.00343294462</v>
      </c>
      <c r="AQ28" s="21">
        <f t="shared" si="21"/>
        <v>-7068.8776164297851</v>
      </c>
      <c r="AR28" s="21">
        <f t="shared" si="22"/>
        <v>-7068.8776164297851</v>
      </c>
    </row>
    <row r="29" spans="1:44" ht="15.75" customHeight="1" x14ac:dyDescent="0.35">
      <c r="A29" s="5">
        <f t="shared" si="0"/>
        <v>2023</v>
      </c>
      <c r="B29" s="5" t="str">
        <f t="shared" si="1"/>
        <v>Q3</v>
      </c>
      <c r="C29" s="10">
        <v>45170</v>
      </c>
      <c r="D29" s="20">
        <f>DRE!D29</f>
        <v>4381.9086560000005</v>
      </c>
      <c r="E29" s="20"/>
      <c r="F29" s="20"/>
      <c r="G29" s="20">
        <v>300</v>
      </c>
      <c r="H29" s="20"/>
      <c r="I29" s="20"/>
      <c r="J29" s="20">
        <f t="shared" si="24"/>
        <v>262.91451936000004</v>
      </c>
      <c r="K29" s="20">
        <f t="shared" si="2"/>
        <v>8645.240341349785</v>
      </c>
      <c r="L29" s="20">
        <f>Financiamento!D38</f>
        <v>5063.7995278732924</v>
      </c>
      <c r="M29" s="20">
        <f>Financiamento!C38</f>
        <v>3581.4408134764922</v>
      </c>
      <c r="N29" s="20"/>
      <c r="O29" s="20"/>
      <c r="Q29" s="20">
        <f t="shared" si="3"/>
        <v>4381.9086560000005</v>
      </c>
      <c r="R29" s="20">
        <f t="shared" si="4"/>
        <v>-300</v>
      </c>
      <c r="S29" s="20">
        <f t="shared" si="5"/>
        <v>4081.9086560000005</v>
      </c>
      <c r="T29" s="20"/>
      <c r="U29" s="20">
        <f t="shared" si="6"/>
        <v>4081.9086560000005</v>
      </c>
      <c r="V29" s="20">
        <f t="shared" si="7"/>
        <v>-3581.4408134764922</v>
      </c>
      <c r="W29" s="20">
        <f t="shared" si="8"/>
        <v>500.46784252350835</v>
      </c>
      <c r="X29" s="20">
        <f t="shared" si="9"/>
        <v>-262.91451936000004</v>
      </c>
      <c r="Y29" s="20">
        <f t="shared" si="10"/>
        <v>237.55332316350831</v>
      </c>
      <c r="Z29" s="21"/>
      <c r="AA29" s="20">
        <f t="shared" si="11"/>
        <v>4081.9086560000005</v>
      </c>
      <c r="AB29" s="20">
        <f t="shared" si="12"/>
        <v>0</v>
      </c>
      <c r="AC29" s="20">
        <f t="shared" si="13"/>
        <v>0</v>
      </c>
      <c r="AD29" s="20">
        <f t="shared" si="14"/>
        <v>-8645.240341349785</v>
      </c>
      <c r="AE29" s="20">
        <f t="shared" si="15"/>
        <v>-4563.3316853497845</v>
      </c>
      <c r="AF29" s="20">
        <f t="shared" si="23"/>
        <v>-197322.00343294462</v>
      </c>
      <c r="AG29" s="20">
        <f t="shared" si="16"/>
        <v>-201885.3351182944</v>
      </c>
      <c r="AQ29" s="21">
        <f t="shared" si="21"/>
        <v>-4563.3316853497845</v>
      </c>
      <c r="AR29" s="21">
        <f t="shared" si="22"/>
        <v>-4563.3316853497845</v>
      </c>
    </row>
    <row r="30" spans="1:44" ht="15.75" customHeight="1" x14ac:dyDescent="0.35">
      <c r="A30" s="5">
        <f t="shared" si="0"/>
        <v>2023</v>
      </c>
      <c r="B30" s="5" t="str">
        <f t="shared" si="1"/>
        <v>Q4</v>
      </c>
      <c r="C30" s="10">
        <v>45200</v>
      </c>
      <c r="D30" s="20">
        <f>DRE!D30</f>
        <v>4485.1538639999999</v>
      </c>
      <c r="E30" s="20"/>
      <c r="F30" s="20"/>
      <c r="G30" s="20">
        <v>300</v>
      </c>
      <c r="H30" s="20"/>
      <c r="I30" s="20"/>
      <c r="J30" s="20">
        <f t="shared" si="24"/>
        <v>269.10923184000001</v>
      </c>
      <c r="K30" s="20">
        <f t="shared" si="2"/>
        <v>8645.240341349785</v>
      </c>
      <c r="L30" s="20">
        <f>Financiamento!D39</f>
        <v>5141.7820406025412</v>
      </c>
      <c r="M30" s="20">
        <f>Financiamento!C39</f>
        <v>3503.4583007472438</v>
      </c>
      <c r="N30" s="20"/>
      <c r="O30" s="20"/>
      <c r="Q30" s="20">
        <f t="shared" si="3"/>
        <v>4485.1538639999999</v>
      </c>
      <c r="R30" s="20">
        <f t="shared" si="4"/>
        <v>-300</v>
      </c>
      <c r="S30" s="20">
        <f t="shared" si="5"/>
        <v>4185.1538639999999</v>
      </c>
      <c r="T30" s="20"/>
      <c r="U30" s="20">
        <f t="shared" si="6"/>
        <v>4185.1538639999999</v>
      </c>
      <c r="V30" s="20">
        <f t="shared" si="7"/>
        <v>-3503.4583007472438</v>
      </c>
      <c r="W30" s="20">
        <f t="shared" si="8"/>
        <v>681.69556325275607</v>
      </c>
      <c r="X30" s="20">
        <f t="shared" si="9"/>
        <v>-269.10923184000001</v>
      </c>
      <c r="Y30" s="20">
        <f t="shared" si="10"/>
        <v>412.58633141275607</v>
      </c>
      <c r="Z30" s="21"/>
      <c r="AA30" s="20">
        <f t="shared" si="11"/>
        <v>4185.1538639999999</v>
      </c>
      <c r="AB30" s="20">
        <f t="shared" si="12"/>
        <v>0</v>
      </c>
      <c r="AC30" s="20">
        <f t="shared" si="13"/>
        <v>0</v>
      </c>
      <c r="AD30" s="20">
        <f t="shared" si="14"/>
        <v>-8645.240341349785</v>
      </c>
      <c r="AE30" s="20">
        <f t="shared" si="15"/>
        <v>-4460.0864773497851</v>
      </c>
      <c r="AF30" s="20">
        <f t="shared" si="23"/>
        <v>-201885.3351182944</v>
      </c>
      <c r="AG30" s="20">
        <f t="shared" si="16"/>
        <v>-206345.42159564418</v>
      </c>
      <c r="AQ30" s="21">
        <f t="shared" si="21"/>
        <v>-4460.0864773497851</v>
      </c>
      <c r="AR30" s="21">
        <f t="shared" si="22"/>
        <v>-4460.0864773497851</v>
      </c>
    </row>
    <row r="31" spans="1:44" ht="15.75" customHeight="1" x14ac:dyDescent="0.35">
      <c r="A31" s="5">
        <f t="shared" si="0"/>
        <v>2023</v>
      </c>
      <c r="B31" s="5" t="str">
        <f t="shared" si="1"/>
        <v>Q4</v>
      </c>
      <c r="C31" s="10">
        <v>45231</v>
      </c>
      <c r="D31" s="20">
        <f>DRE!D31</f>
        <v>5180.3796350000002</v>
      </c>
      <c r="E31" s="20"/>
      <c r="F31" s="20"/>
      <c r="G31" s="20">
        <v>300</v>
      </c>
      <c r="H31" s="20"/>
      <c r="I31" s="20"/>
      <c r="J31" s="20">
        <f t="shared" si="24"/>
        <v>310.82277809999999</v>
      </c>
      <c r="K31" s="20">
        <f t="shared" si="2"/>
        <v>8645.240341349785</v>
      </c>
      <c r="L31" s="20">
        <f>Financiamento!D40</f>
        <v>5220.9654840278199</v>
      </c>
      <c r="M31" s="20">
        <f>Financiamento!C40</f>
        <v>3424.2748573219646</v>
      </c>
      <c r="N31" s="20"/>
      <c r="O31" s="20"/>
      <c r="Q31" s="20">
        <f t="shared" si="3"/>
        <v>5180.3796350000002</v>
      </c>
      <c r="R31" s="20">
        <f t="shared" si="4"/>
        <v>-300</v>
      </c>
      <c r="S31" s="20">
        <f t="shared" si="5"/>
        <v>4880.3796350000002</v>
      </c>
      <c r="T31" s="20"/>
      <c r="U31" s="20">
        <f t="shared" si="6"/>
        <v>4880.3796350000002</v>
      </c>
      <c r="V31" s="20">
        <f t="shared" si="7"/>
        <v>-3424.2748573219646</v>
      </c>
      <c r="W31" s="20">
        <f t="shared" si="8"/>
        <v>1456.1047776780356</v>
      </c>
      <c r="X31" s="20">
        <f t="shared" si="9"/>
        <v>-310.82277809999999</v>
      </c>
      <c r="Y31" s="20">
        <f t="shared" si="10"/>
        <v>1145.2819995780355</v>
      </c>
      <c r="Z31" s="21"/>
      <c r="AA31" s="20">
        <f t="shared" si="11"/>
        <v>4880.3796350000002</v>
      </c>
      <c r="AB31" s="20">
        <f t="shared" si="12"/>
        <v>0</v>
      </c>
      <c r="AC31" s="20">
        <f t="shared" si="13"/>
        <v>0</v>
      </c>
      <c r="AD31" s="20">
        <f t="shared" si="14"/>
        <v>-8645.240341349785</v>
      </c>
      <c r="AE31" s="20">
        <f t="shared" si="15"/>
        <v>-3764.8607063497848</v>
      </c>
      <c r="AF31" s="20">
        <f t="shared" si="23"/>
        <v>-206345.42159564418</v>
      </c>
      <c r="AG31" s="20">
        <f t="shared" si="16"/>
        <v>-210110.28230199395</v>
      </c>
      <c r="AQ31" s="21">
        <f t="shared" si="21"/>
        <v>-3764.8607063497848</v>
      </c>
      <c r="AR31" s="21">
        <f t="shared" si="22"/>
        <v>-3764.8607063497848</v>
      </c>
    </row>
    <row r="32" spans="1:44" ht="15.75" customHeight="1" x14ac:dyDescent="0.35">
      <c r="A32" s="5">
        <f t="shared" si="0"/>
        <v>2023</v>
      </c>
      <c r="B32" s="5" t="str">
        <f t="shared" si="1"/>
        <v>Q4</v>
      </c>
      <c r="C32" s="10">
        <v>45261</v>
      </c>
      <c r="D32" s="20">
        <f>DRE!D32</f>
        <v>4679.9758519999996</v>
      </c>
      <c r="E32" s="20"/>
      <c r="F32" s="20"/>
      <c r="G32" s="20">
        <v>300</v>
      </c>
      <c r="H32" s="20">
        <v>1129.75</v>
      </c>
      <c r="I32" s="20">
        <v>720</v>
      </c>
      <c r="J32" s="20">
        <f t="shared" si="24"/>
        <v>280.79855111999996</v>
      </c>
      <c r="K32" s="20">
        <f t="shared" si="2"/>
        <v>8645.240341349785</v>
      </c>
      <c r="L32" s="20">
        <f>Financiamento!D41</f>
        <v>5301.368352481848</v>
      </c>
      <c r="M32" s="20">
        <f>Financiamento!C41</f>
        <v>3343.8719888679366</v>
      </c>
      <c r="N32" s="20"/>
      <c r="O32" s="20"/>
      <c r="Q32" s="20">
        <f t="shared" si="3"/>
        <v>4679.9758519999996</v>
      </c>
      <c r="R32" s="20">
        <f t="shared" si="4"/>
        <v>-2149.75</v>
      </c>
      <c r="S32" s="20">
        <f t="shared" si="5"/>
        <v>2530.2258519999996</v>
      </c>
      <c r="T32" s="20"/>
      <c r="U32" s="20">
        <f t="shared" si="6"/>
        <v>2530.2258519999996</v>
      </c>
      <c r="V32" s="20">
        <f t="shared" si="7"/>
        <v>-3343.8719888679366</v>
      </c>
      <c r="W32" s="20">
        <f t="shared" si="8"/>
        <v>-813.646136867937</v>
      </c>
      <c r="X32" s="20">
        <f t="shared" si="9"/>
        <v>-280.79855111999996</v>
      </c>
      <c r="Y32" s="20">
        <f t="shared" si="10"/>
        <v>-1094.444687987937</v>
      </c>
      <c r="Z32" s="21"/>
      <c r="AA32" s="20">
        <f t="shared" si="11"/>
        <v>2530.2258519999996</v>
      </c>
      <c r="AB32" s="20">
        <f t="shared" si="12"/>
        <v>0</v>
      </c>
      <c r="AC32" s="20">
        <f t="shared" si="13"/>
        <v>0</v>
      </c>
      <c r="AD32" s="20">
        <f t="shared" si="14"/>
        <v>-8645.240341349785</v>
      </c>
      <c r="AE32" s="20">
        <f t="shared" si="15"/>
        <v>-6115.0144893497854</v>
      </c>
      <c r="AF32" s="20">
        <f t="shared" si="23"/>
        <v>-210110.28230199395</v>
      </c>
      <c r="AG32" s="20">
        <f t="shared" si="16"/>
        <v>-216225.29679134375</v>
      </c>
      <c r="AQ32" s="21">
        <f t="shared" si="21"/>
        <v>-6115.0144893497854</v>
      </c>
      <c r="AR32" s="21">
        <f t="shared" si="22"/>
        <v>-6115.0144893497854</v>
      </c>
    </row>
    <row r="33" spans="1:44" ht="15.75" customHeight="1" x14ac:dyDescent="0.35">
      <c r="A33" s="5">
        <f t="shared" si="0"/>
        <v>2024</v>
      </c>
      <c r="B33" s="5" t="str">
        <f t="shared" si="1"/>
        <v>Q1</v>
      </c>
      <c r="C33" s="10">
        <v>45292</v>
      </c>
      <c r="D33" s="20">
        <f>DRE!D33</f>
        <v>4204.0458900000003</v>
      </c>
      <c r="E33" s="20"/>
      <c r="F33" s="20"/>
      <c r="G33" s="20">
        <v>300</v>
      </c>
      <c r="H33" s="20"/>
      <c r="I33" s="20"/>
      <c r="J33" s="20">
        <f t="shared" si="24"/>
        <v>252.2427534</v>
      </c>
      <c r="K33" s="20">
        <f t="shared" si="2"/>
        <v>8645.240341349785</v>
      </c>
      <c r="L33" s="20">
        <f>Financiamento!D42</f>
        <v>5383.0094251100691</v>
      </c>
      <c r="M33" s="20">
        <f>Financiamento!C42</f>
        <v>3262.230916239716</v>
      </c>
      <c r="N33" s="20"/>
      <c r="O33" s="20"/>
      <c r="Q33" s="20">
        <f t="shared" si="3"/>
        <v>4204.0458900000003</v>
      </c>
      <c r="R33" s="20">
        <f t="shared" si="4"/>
        <v>-300</v>
      </c>
      <c r="S33" s="20">
        <f t="shared" si="5"/>
        <v>3904.0458900000003</v>
      </c>
      <c r="T33" s="20"/>
      <c r="U33" s="20">
        <f t="shared" si="6"/>
        <v>3904.0458900000003</v>
      </c>
      <c r="V33" s="20">
        <f t="shared" si="7"/>
        <v>-3262.230916239716</v>
      </c>
      <c r="W33" s="20">
        <f t="shared" si="8"/>
        <v>641.81497376028437</v>
      </c>
      <c r="X33" s="20">
        <f t="shared" si="9"/>
        <v>-252.2427534</v>
      </c>
      <c r="Y33" s="20">
        <f t="shared" si="10"/>
        <v>389.5722203602844</v>
      </c>
      <c r="Z33" s="21"/>
      <c r="AA33" s="20">
        <f t="shared" si="11"/>
        <v>3904.0458900000003</v>
      </c>
      <c r="AB33" s="20">
        <f t="shared" si="12"/>
        <v>0</v>
      </c>
      <c r="AC33" s="20">
        <f t="shared" si="13"/>
        <v>0</v>
      </c>
      <c r="AD33" s="20">
        <f t="shared" si="14"/>
        <v>-8645.240341349785</v>
      </c>
      <c r="AE33" s="20">
        <f t="shared" si="15"/>
        <v>-4741.1944513497847</v>
      </c>
      <c r="AF33" s="20">
        <f t="shared" si="23"/>
        <v>-216225.29679134375</v>
      </c>
      <c r="AG33" s="20">
        <f t="shared" si="16"/>
        <v>-220966.49124269353</v>
      </c>
      <c r="AQ33" s="21">
        <f t="shared" si="21"/>
        <v>-4741.1944513497847</v>
      </c>
      <c r="AR33" s="21">
        <f t="shared" si="22"/>
        <v>-4741.1944513497847</v>
      </c>
    </row>
    <row r="34" spans="1:44" ht="15.75" customHeight="1" x14ac:dyDescent="0.35">
      <c r="A34" s="5">
        <f t="shared" si="0"/>
        <v>2024</v>
      </c>
      <c r="B34" s="5" t="str">
        <f t="shared" si="1"/>
        <v>Q1</v>
      </c>
      <c r="C34" s="10">
        <v>45323</v>
      </c>
      <c r="D34" s="20">
        <f>DRE!D34</f>
        <v>5809.9942949999995</v>
      </c>
      <c r="E34" s="20"/>
      <c r="F34" s="20"/>
      <c r="G34" s="20">
        <v>300</v>
      </c>
      <c r="H34" s="20"/>
      <c r="I34" s="20"/>
      <c r="J34" s="20">
        <f t="shared" si="24"/>
        <v>348.59965769999997</v>
      </c>
      <c r="K34" s="20">
        <f t="shared" si="2"/>
        <v>8645.240341349785</v>
      </c>
      <c r="L34" s="20">
        <f>Financiamento!D43</f>
        <v>5465.9077702567638</v>
      </c>
      <c r="M34" s="20">
        <f>Financiamento!C43</f>
        <v>3179.3325710930212</v>
      </c>
      <c r="N34" s="20"/>
      <c r="O34" s="20"/>
      <c r="Q34" s="20">
        <f t="shared" si="3"/>
        <v>5809.9942949999995</v>
      </c>
      <c r="R34" s="20">
        <f t="shared" si="4"/>
        <v>-300</v>
      </c>
      <c r="S34" s="20">
        <f t="shared" si="5"/>
        <v>5509.9942949999995</v>
      </c>
      <c r="T34" s="20"/>
      <c r="U34" s="20">
        <f t="shared" si="6"/>
        <v>5509.9942949999995</v>
      </c>
      <c r="V34" s="20">
        <f t="shared" si="7"/>
        <v>-3179.3325710930212</v>
      </c>
      <c r="W34" s="20">
        <f t="shared" si="8"/>
        <v>2330.6617239069783</v>
      </c>
      <c r="X34" s="20">
        <f t="shared" si="9"/>
        <v>-348.59965769999997</v>
      </c>
      <c r="Y34" s="20">
        <f t="shared" si="10"/>
        <v>1982.0620662069782</v>
      </c>
      <c r="Z34" s="21"/>
      <c r="AA34" s="20">
        <f t="shared" si="11"/>
        <v>5509.9942949999995</v>
      </c>
      <c r="AB34" s="20">
        <f t="shared" si="12"/>
        <v>0</v>
      </c>
      <c r="AC34" s="20">
        <f t="shared" si="13"/>
        <v>0</v>
      </c>
      <c r="AD34" s="20">
        <f t="shared" si="14"/>
        <v>-8645.240341349785</v>
      </c>
      <c r="AE34" s="20">
        <f t="shared" si="15"/>
        <v>-3135.2460463497855</v>
      </c>
      <c r="AF34" s="20">
        <f t="shared" si="23"/>
        <v>-220966.49124269353</v>
      </c>
      <c r="AG34" s="20">
        <f t="shared" si="16"/>
        <v>-224101.73728904332</v>
      </c>
      <c r="AQ34" s="21">
        <f t="shared" si="21"/>
        <v>-3135.2460463497855</v>
      </c>
      <c r="AR34" s="21">
        <f t="shared" si="22"/>
        <v>-3135.2460463497855</v>
      </c>
    </row>
    <row r="35" spans="1:44" ht="15.75" customHeight="1" x14ac:dyDescent="0.35">
      <c r="A35" s="5">
        <f t="shared" si="0"/>
        <v>2024</v>
      </c>
      <c r="B35" s="5" t="str">
        <f t="shared" si="1"/>
        <v>Q1</v>
      </c>
      <c r="C35" s="10">
        <v>45352</v>
      </c>
      <c r="D35" s="20">
        <f>DRE!D35</f>
        <v>6923.6927100000012</v>
      </c>
      <c r="E35" s="20"/>
      <c r="F35" s="20"/>
      <c r="G35" s="20">
        <v>300</v>
      </c>
      <c r="H35" s="20"/>
      <c r="I35" s="20"/>
      <c r="J35" s="20">
        <f t="shared" si="24"/>
        <v>415.42156260000007</v>
      </c>
      <c r="K35" s="20">
        <f t="shared" si="2"/>
        <v>8645.240341349785</v>
      </c>
      <c r="L35" s="20">
        <f>Financiamento!D44</f>
        <v>5550.082749918718</v>
      </c>
      <c r="M35" s="20">
        <f>Financiamento!C44</f>
        <v>3095.157591431067</v>
      </c>
      <c r="N35" s="20"/>
      <c r="O35" s="20"/>
      <c r="Q35" s="20">
        <f t="shared" si="3"/>
        <v>6923.6927100000012</v>
      </c>
      <c r="R35" s="20">
        <f t="shared" si="4"/>
        <v>-300</v>
      </c>
      <c r="S35" s="20">
        <f t="shared" si="5"/>
        <v>6623.6927100000012</v>
      </c>
      <c r="T35" s="20"/>
      <c r="U35" s="20">
        <f t="shared" si="6"/>
        <v>6623.6927100000012</v>
      </c>
      <c r="V35" s="20">
        <f t="shared" si="7"/>
        <v>-3095.157591431067</v>
      </c>
      <c r="W35" s="20">
        <f t="shared" si="8"/>
        <v>3528.5351185689342</v>
      </c>
      <c r="X35" s="20">
        <f t="shared" si="9"/>
        <v>-415.42156260000007</v>
      </c>
      <c r="Y35" s="20">
        <f t="shared" si="10"/>
        <v>3113.1135559689342</v>
      </c>
      <c r="Z35" s="21"/>
      <c r="AA35" s="20">
        <f t="shared" si="11"/>
        <v>6623.6927100000012</v>
      </c>
      <c r="AB35" s="20">
        <f t="shared" si="12"/>
        <v>0</v>
      </c>
      <c r="AC35" s="20">
        <f t="shared" si="13"/>
        <v>0</v>
      </c>
      <c r="AD35" s="20">
        <f t="shared" si="14"/>
        <v>-8645.240341349785</v>
      </c>
      <c r="AE35" s="20">
        <f t="shared" si="15"/>
        <v>-2021.5476313497838</v>
      </c>
      <c r="AF35" s="20">
        <f t="shared" si="23"/>
        <v>-224101.73728904332</v>
      </c>
      <c r="AG35" s="20">
        <f t="shared" si="16"/>
        <v>-226123.28492039311</v>
      </c>
      <c r="AQ35" s="21">
        <f t="shared" si="21"/>
        <v>-2021.5476313497838</v>
      </c>
      <c r="AR35" s="21">
        <f t="shared" si="22"/>
        <v>-2021.5476313497838</v>
      </c>
    </row>
    <row r="36" spans="1:44" ht="15.75" customHeight="1" x14ac:dyDescent="0.35">
      <c r="A36" s="5">
        <f t="shared" si="0"/>
        <v>2024</v>
      </c>
      <c r="B36" s="5" t="str">
        <f t="shared" si="1"/>
        <v>Q2</v>
      </c>
      <c r="C36" s="10">
        <v>45383</v>
      </c>
      <c r="D36" s="20">
        <f>DRE!D36</f>
        <v>5791.3046250000007</v>
      </c>
      <c r="E36" s="20"/>
      <c r="F36" s="20"/>
      <c r="G36" s="20">
        <v>300</v>
      </c>
      <c r="H36" s="20"/>
      <c r="I36" s="20"/>
      <c r="J36" s="20">
        <f t="shared" si="24"/>
        <v>347.47827750000005</v>
      </c>
      <c r="K36" s="20">
        <f t="shared" si="2"/>
        <v>8645.240341349785</v>
      </c>
      <c r="L36" s="20">
        <f>Financiamento!D45</f>
        <v>5635.554024267467</v>
      </c>
      <c r="M36" s="20">
        <f>Financiamento!C45</f>
        <v>3009.6863170823185</v>
      </c>
      <c r="N36" s="20"/>
      <c r="O36" s="20"/>
      <c r="Q36" s="20">
        <f t="shared" si="3"/>
        <v>5791.3046250000007</v>
      </c>
      <c r="R36" s="20">
        <f t="shared" si="4"/>
        <v>-300</v>
      </c>
      <c r="S36" s="20">
        <f t="shared" si="5"/>
        <v>5491.3046250000007</v>
      </c>
      <c r="T36" s="20"/>
      <c r="U36" s="20">
        <f t="shared" si="6"/>
        <v>5491.3046250000007</v>
      </c>
      <c r="V36" s="20">
        <f t="shared" si="7"/>
        <v>-3009.6863170823185</v>
      </c>
      <c r="W36" s="20">
        <f t="shared" si="8"/>
        <v>2481.6183079176822</v>
      </c>
      <c r="X36" s="20">
        <f t="shared" si="9"/>
        <v>-347.47827750000005</v>
      </c>
      <c r="Y36" s="20">
        <f t="shared" si="10"/>
        <v>2134.1400304176823</v>
      </c>
      <c r="Z36" s="21"/>
      <c r="AA36" s="20">
        <f t="shared" si="11"/>
        <v>5491.3046250000007</v>
      </c>
      <c r="AB36" s="20">
        <f t="shared" si="12"/>
        <v>0</v>
      </c>
      <c r="AC36" s="20">
        <f t="shared" si="13"/>
        <v>0</v>
      </c>
      <c r="AD36" s="20">
        <f t="shared" si="14"/>
        <v>-8645.240341349785</v>
      </c>
      <c r="AE36" s="20">
        <f t="shared" si="15"/>
        <v>-3153.9357163497843</v>
      </c>
      <c r="AF36" s="20">
        <f t="shared" si="23"/>
        <v>-226123.28492039311</v>
      </c>
      <c r="AG36" s="20">
        <f t="shared" si="16"/>
        <v>-229277.22063674289</v>
      </c>
      <c r="AQ36" s="21">
        <f t="shared" si="21"/>
        <v>-3153.9357163497843</v>
      </c>
      <c r="AR36" s="21">
        <f t="shared" si="22"/>
        <v>-3153.9357163497843</v>
      </c>
    </row>
    <row r="37" spans="1:44" ht="15.75" customHeight="1" x14ac:dyDescent="0.35">
      <c r="A37" s="5">
        <f t="shared" si="0"/>
        <v>2024</v>
      </c>
      <c r="B37" s="5" t="str">
        <f t="shared" si="1"/>
        <v>Q2</v>
      </c>
      <c r="C37" s="10">
        <v>45413</v>
      </c>
      <c r="D37" s="20">
        <f>DRE!D37</f>
        <v>6448.467662</v>
      </c>
      <c r="E37" s="20"/>
      <c r="F37" s="20"/>
      <c r="G37" s="20">
        <v>300</v>
      </c>
      <c r="H37" s="20"/>
      <c r="I37" s="20">
        <v>754</v>
      </c>
      <c r="J37" s="20">
        <f t="shared" si="24"/>
        <v>386.90805971999998</v>
      </c>
      <c r="K37" s="20">
        <f t="shared" si="2"/>
        <v>8645.240341349785</v>
      </c>
      <c r="L37" s="20">
        <f>Financiamento!D46</f>
        <v>5722.3415562411856</v>
      </c>
      <c r="M37" s="20">
        <f>Financiamento!C46</f>
        <v>2922.8987851085994</v>
      </c>
      <c r="N37" s="20"/>
      <c r="O37" s="20"/>
      <c r="Q37" s="20">
        <f t="shared" si="3"/>
        <v>6448.467662</v>
      </c>
      <c r="R37" s="20">
        <f t="shared" si="4"/>
        <v>-1054</v>
      </c>
      <c r="S37" s="20">
        <f t="shared" si="5"/>
        <v>5394.467662</v>
      </c>
      <c r="T37" s="20"/>
      <c r="U37" s="20">
        <f t="shared" si="6"/>
        <v>5394.467662</v>
      </c>
      <c r="V37" s="20">
        <f t="shared" si="7"/>
        <v>-2922.8987851085994</v>
      </c>
      <c r="W37" s="20">
        <f t="shared" si="8"/>
        <v>2471.5688768914006</v>
      </c>
      <c r="X37" s="20">
        <f t="shared" si="9"/>
        <v>-386.90805971999998</v>
      </c>
      <c r="Y37" s="20">
        <f t="shared" si="10"/>
        <v>2084.6608171714006</v>
      </c>
      <c r="Z37" s="21"/>
      <c r="AA37" s="20">
        <f t="shared" si="11"/>
        <v>5394.467662</v>
      </c>
      <c r="AB37" s="20">
        <f t="shared" si="12"/>
        <v>0</v>
      </c>
      <c r="AC37" s="20">
        <f t="shared" si="13"/>
        <v>0</v>
      </c>
      <c r="AD37" s="20">
        <f t="shared" si="14"/>
        <v>-8645.240341349785</v>
      </c>
      <c r="AE37" s="20">
        <f t="shared" si="15"/>
        <v>-3250.772679349785</v>
      </c>
      <c r="AF37" s="20">
        <f t="shared" si="23"/>
        <v>-229277.22063674289</v>
      </c>
      <c r="AG37" s="20">
        <f t="shared" si="16"/>
        <v>-232527.99331609267</v>
      </c>
      <c r="AQ37" s="21">
        <f t="shared" si="21"/>
        <v>-3250.772679349785</v>
      </c>
      <c r="AR37" s="21">
        <f t="shared" si="22"/>
        <v>-3250.772679349785</v>
      </c>
    </row>
    <row r="38" spans="1:44" ht="15.75" customHeight="1" x14ac:dyDescent="0.35">
      <c r="A38" s="5">
        <f t="shared" si="0"/>
        <v>2024</v>
      </c>
      <c r="B38" s="5" t="str">
        <f t="shared" si="1"/>
        <v>Q2</v>
      </c>
      <c r="C38" s="10">
        <v>45444</v>
      </c>
      <c r="D38" s="20">
        <f>DRE!D38</f>
        <v>4421.3114569999998</v>
      </c>
      <c r="E38" s="20"/>
      <c r="F38" s="20"/>
      <c r="G38" s="20">
        <v>300</v>
      </c>
      <c r="H38" s="20"/>
      <c r="I38" s="20"/>
      <c r="J38" s="20">
        <f t="shared" si="24"/>
        <v>265.27868741999998</v>
      </c>
      <c r="K38" s="20">
        <f t="shared" si="2"/>
        <v>8645.240341349785</v>
      </c>
      <c r="L38" s="20">
        <f>Financiamento!D47</f>
        <v>5810.4656162072997</v>
      </c>
      <c r="M38" s="20">
        <f>Financiamento!C47</f>
        <v>2834.7747251424853</v>
      </c>
      <c r="N38" s="20"/>
      <c r="O38" s="20"/>
      <c r="Q38" s="20">
        <f t="shared" si="3"/>
        <v>4421.3114569999998</v>
      </c>
      <c r="R38" s="20">
        <f t="shared" si="4"/>
        <v>-300</v>
      </c>
      <c r="S38" s="20">
        <f t="shared" si="5"/>
        <v>4121.3114569999998</v>
      </c>
      <c r="T38" s="20"/>
      <c r="U38" s="20">
        <f t="shared" si="6"/>
        <v>4121.3114569999998</v>
      </c>
      <c r="V38" s="20">
        <f t="shared" si="7"/>
        <v>-2834.7747251424853</v>
      </c>
      <c r="W38" s="20">
        <f t="shared" si="8"/>
        <v>1286.5367318575145</v>
      </c>
      <c r="X38" s="20">
        <f t="shared" si="9"/>
        <v>-265.27868741999998</v>
      </c>
      <c r="Y38" s="20">
        <f t="shared" si="10"/>
        <v>1021.2580444375145</v>
      </c>
      <c r="Z38" s="21"/>
      <c r="AA38" s="20">
        <f t="shared" si="11"/>
        <v>4121.3114569999998</v>
      </c>
      <c r="AB38" s="20">
        <f t="shared" si="12"/>
        <v>0</v>
      </c>
      <c r="AC38" s="20">
        <f t="shared" si="13"/>
        <v>0</v>
      </c>
      <c r="AD38" s="20">
        <f t="shared" si="14"/>
        <v>-8645.240341349785</v>
      </c>
      <c r="AE38" s="20">
        <f t="shared" si="15"/>
        <v>-4523.9288843497852</v>
      </c>
      <c r="AF38" s="20">
        <f t="shared" si="23"/>
        <v>-232527.99331609267</v>
      </c>
      <c r="AG38" s="20">
        <f t="shared" si="16"/>
        <v>-237051.92220044247</v>
      </c>
      <c r="AQ38" s="21">
        <f t="shared" si="21"/>
        <v>-4523.9288843497852</v>
      </c>
      <c r="AR38" s="21">
        <f t="shared" si="22"/>
        <v>-4523.9288843497852</v>
      </c>
    </row>
    <row r="39" spans="1:44" ht="15.75" customHeight="1" x14ac:dyDescent="0.35">
      <c r="A39" s="5">
        <f t="shared" si="0"/>
        <v>2024</v>
      </c>
      <c r="B39" s="5" t="str">
        <f t="shared" si="1"/>
        <v>Q3</v>
      </c>
      <c r="C39" s="10">
        <v>45474</v>
      </c>
      <c r="D39" s="20">
        <f>DRE!D39</f>
        <v>3192.3306480000001</v>
      </c>
      <c r="E39" s="20"/>
      <c r="F39" s="20"/>
      <c r="G39" s="20">
        <v>300</v>
      </c>
      <c r="H39" s="20"/>
      <c r="I39" s="20"/>
      <c r="J39" s="20">
        <f t="shared" si="24"/>
        <v>191.53983887999999</v>
      </c>
      <c r="K39" s="20">
        <f t="shared" si="2"/>
        <v>8645.240341349785</v>
      </c>
      <c r="L39" s="20">
        <f>Financiamento!D48</f>
        <v>5899.9467866968916</v>
      </c>
      <c r="M39" s="20">
        <f>Financiamento!C48</f>
        <v>2745.2935546528929</v>
      </c>
      <c r="N39" s="20"/>
      <c r="O39" s="20"/>
      <c r="Q39" s="20">
        <f t="shared" si="3"/>
        <v>3192.3306480000001</v>
      </c>
      <c r="R39" s="20">
        <f t="shared" si="4"/>
        <v>-300</v>
      </c>
      <c r="S39" s="20">
        <f t="shared" si="5"/>
        <v>2892.3306480000001</v>
      </c>
      <c r="T39" s="20"/>
      <c r="U39" s="20">
        <f t="shared" si="6"/>
        <v>2892.3306480000001</v>
      </c>
      <c r="V39" s="20">
        <f t="shared" si="7"/>
        <v>-2745.2935546528929</v>
      </c>
      <c r="W39" s="20">
        <f t="shared" si="8"/>
        <v>147.0370933471072</v>
      </c>
      <c r="X39" s="20">
        <f t="shared" si="9"/>
        <v>-191.53983887999999</v>
      </c>
      <c r="Y39" s="20">
        <f t="shared" si="10"/>
        <v>-44.502745532892789</v>
      </c>
      <c r="Z39" s="21"/>
      <c r="AA39" s="20">
        <f t="shared" si="11"/>
        <v>2892.3306480000001</v>
      </c>
      <c r="AB39" s="20">
        <f t="shared" si="12"/>
        <v>0</v>
      </c>
      <c r="AC39" s="20">
        <f t="shared" si="13"/>
        <v>0</v>
      </c>
      <c r="AD39" s="20">
        <f t="shared" si="14"/>
        <v>-8645.240341349785</v>
      </c>
      <c r="AE39" s="20">
        <f t="shared" si="15"/>
        <v>-5752.9096933497849</v>
      </c>
      <c r="AF39" s="20">
        <f t="shared" si="23"/>
        <v>-237051.92220044247</v>
      </c>
      <c r="AG39" s="20">
        <f t="shared" si="16"/>
        <v>-242804.83189379226</v>
      </c>
      <c r="AQ39" s="21">
        <f t="shared" si="21"/>
        <v>-5752.9096933497849</v>
      </c>
      <c r="AR39" s="21">
        <f t="shared" si="22"/>
        <v>-5752.9096933497849</v>
      </c>
    </row>
    <row r="40" spans="1:44" ht="15.75" customHeight="1" x14ac:dyDescent="0.35">
      <c r="A40" s="5">
        <f t="shared" si="0"/>
        <v>2024</v>
      </c>
      <c r="B40" s="5" t="str">
        <f t="shared" si="1"/>
        <v>Q3</v>
      </c>
      <c r="C40" s="10">
        <v>45505</v>
      </c>
      <c r="D40" s="20">
        <f>DRE!D40</f>
        <v>4415.5446909999982</v>
      </c>
      <c r="E40" s="20"/>
      <c r="F40" s="20"/>
      <c r="G40" s="20">
        <v>300</v>
      </c>
      <c r="H40" s="20"/>
      <c r="I40" s="20"/>
      <c r="J40" s="20">
        <f t="shared" si="24"/>
        <v>264.93268145999991</v>
      </c>
      <c r="K40" s="20">
        <f t="shared" si="2"/>
        <v>8645.240341349785</v>
      </c>
      <c r="L40" s="20">
        <f>Financiamento!D49</f>
        <v>5990.8059672120253</v>
      </c>
      <c r="M40" s="20">
        <f>Financiamento!C49</f>
        <v>2654.4343741377602</v>
      </c>
      <c r="N40" s="20"/>
      <c r="O40" s="20"/>
      <c r="Q40" s="20">
        <f t="shared" si="3"/>
        <v>4415.5446909999982</v>
      </c>
      <c r="R40" s="20">
        <f t="shared" si="4"/>
        <v>-300</v>
      </c>
      <c r="S40" s="20">
        <f t="shared" si="5"/>
        <v>4115.5446909999982</v>
      </c>
      <c r="T40" s="20"/>
      <c r="U40" s="20">
        <f t="shared" si="6"/>
        <v>4115.5446909999982</v>
      </c>
      <c r="V40" s="20">
        <f t="shared" si="7"/>
        <v>-2654.4343741377602</v>
      </c>
      <c r="W40" s="20">
        <f t="shared" si="8"/>
        <v>1461.1103168622381</v>
      </c>
      <c r="X40" s="20">
        <f t="shared" si="9"/>
        <v>-264.93268145999991</v>
      </c>
      <c r="Y40" s="20">
        <f t="shared" si="10"/>
        <v>1196.1776354022381</v>
      </c>
      <c r="Z40" s="21"/>
      <c r="AA40" s="20">
        <f t="shared" si="11"/>
        <v>4115.5446909999982</v>
      </c>
      <c r="AB40" s="20">
        <f t="shared" si="12"/>
        <v>0</v>
      </c>
      <c r="AC40" s="20">
        <f t="shared" si="13"/>
        <v>0</v>
      </c>
      <c r="AD40" s="20">
        <f t="shared" si="14"/>
        <v>-8645.240341349785</v>
      </c>
      <c r="AE40" s="20">
        <f t="shared" si="15"/>
        <v>-4529.6956503497868</v>
      </c>
      <c r="AF40" s="20">
        <f t="shared" si="23"/>
        <v>-242804.83189379226</v>
      </c>
      <c r="AG40" s="20">
        <f t="shared" si="16"/>
        <v>-247334.52754414204</v>
      </c>
      <c r="AQ40" s="21">
        <f t="shared" si="21"/>
        <v>-4529.6956503497868</v>
      </c>
      <c r="AR40" s="21">
        <f t="shared" si="22"/>
        <v>-4529.6956503497868</v>
      </c>
    </row>
    <row r="41" spans="1:44" ht="15.75" customHeight="1" x14ac:dyDescent="0.35">
      <c r="A41" s="5">
        <f t="shared" si="0"/>
        <v>2024</v>
      </c>
      <c r="B41" s="5" t="str">
        <f t="shared" si="1"/>
        <v>Q3</v>
      </c>
      <c r="C41" s="10">
        <v>45536</v>
      </c>
      <c r="D41" s="20">
        <f>DRE!D41</f>
        <v>6035.7282400000004</v>
      </c>
      <c r="E41" s="20"/>
      <c r="F41" s="20"/>
      <c r="G41" s="20">
        <v>300</v>
      </c>
      <c r="H41" s="20"/>
      <c r="I41" s="20"/>
      <c r="J41" s="20">
        <f t="shared" si="24"/>
        <v>362.14369440000002</v>
      </c>
      <c r="K41" s="20">
        <f t="shared" si="2"/>
        <v>8645.240341349785</v>
      </c>
      <c r="L41" s="20">
        <f>Financiamento!D50</f>
        <v>6083.0643791070897</v>
      </c>
      <c r="M41" s="20">
        <f>Financiamento!C50</f>
        <v>2562.1759622426953</v>
      </c>
      <c r="N41" s="20"/>
      <c r="O41" s="20"/>
      <c r="Q41" s="20">
        <f t="shared" si="3"/>
        <v>6035.7282400000004</v>
      </c>
      <c r="R41" s="20">
        <f t="shared" si="4"/>
        <v>-300</v>
      </c>
      <c r="S41" s="20">
        <f t="shared" si="5"/>
        <v>5735.7282400000004</v>
      </c>
      <c r="T41" s="20"/>
      <c r="U41" s="20">
        <f t="shared" si="6"/>
        <v>5735.7282400000004</v>
      </c>
      <c r="V41" s="20">
        <f t="shared" si="7"/>
        <v>-2562.1759622426953</v>
      </c>
      <c r="W41" s="20">
        <f t="shared" si="8"/>
        <v>3173.5522777573051</v>
      </c>
      <c r="X41" s="20">
        <f t="shared" si="9"/>
        <v>-362.14369440000002</v>
      </c>
      <c r="Y41" s="20">
        <f t="shared" si="10"/>
        <v>2811.4085833573049</v>
      </c>
      <c r="Z41" s="21"/>
      <c r="AA41" s="20">
        <f t="shared" si="11"/>
        <v>5735.7282400000004</v>
      </c>
      <c r="AB41" s="20">
        <f t="shared" si="12"/>
        <v>0</v>
      </c>
      <c r="AC41" s="20">
        <f t="shared" si="13"/>
        <v>0</v>
      </c>
      <c r="AD41" s="20">
        <f t="shared" si="14"/>
        <v>-8645.240341349785</v>
      </c>
      <c r="AE41" s="20">
        <f t="shared" si="15"/>
        <v>-2909.5121013497846</v>
      </c>
      <c r="AF41" s="20">
        <f t="shared" si="23"/>
        <v>-247334.52754414204</v>
      </c>
      <c r="AG41" s="20">
        <f t="shared" si="16"/>
        <v>-250244.03964549181</v>
      </c>
      <c r="AQ41" s="21">
        <f t="shared" si="21"/>
        <v>-2909.5121013497846</v>
      </c>
      <c r="AR41" s="21">
        <f t="shared" si="22"/>
        <v>-2909.5121013497846</v>
      </c>
    </row>
    <row r="42" spans="1:44" ht="15.75" customHeight="1" x14ac:dyDescent="0.35">
      <c r="A42" s="5">
        <f t="shared" si="0"/>
        <v>2024</v>
      </c>
      <c r="B42" s="5" t="str">
        <f t="shared" si="1"/>
        <v>Q4</v>
      </c>
      <c r="C42" s="10">
        <v>45566</v>
      </c>
      <c r="D42" s="20">
        <f>DRE!D42</f>
        <v>5693.162728000003</v>
      </c>
      <c r="E42" s="20"/>
      <c r="F42" s="20"/>
      <c r="G42" s="20">
        <v>300</v>
      </c>
      <c r="H42" s="20"/>
      <c r="I42" s="20"/>
      <c r="J42" s="20">
        <f t="shared" si="24"/>
        <v>341.58976368000015</v>
      </c>
      <c r="K42" s="20">
        <f t="shared" si="2"/>
        <v>8645.240341349785</v>
      </c>
      <c r="L42" s="20">
        <f>Financiamento!D51</f>
        <v>6176.743570545339</v>
      </c>
      <c r="M42" s="20">
        <f>Financiamento!C51</f>
        <v>2468.496770804446</v>
      </c>
      <c r="N42" s="20"/>
      <c r="O42" s="20"/>
      <c r="Q42" s="20">
        <f t="shared" si="3"/>
        <v>5693.162728000003</v>
      </c>
      <c r="R42" s="20">
        <f t="shared" si="4"/>
        <v>-300</v>
      </c>
      <c r="S42" s="20">
        <f t="shared" si="5"/>
        <v>5393.162728000003</v>
      </c>
      <c r="T42" s="20"/>
      <c r="U42" s="20">
        <f t="shared" si="6"/>
        <v>5393.162728000003</v>
      </c>
      <c r="V42" s="20">
        <f t="shared" si="7"/>
        <v>-2468.496770804446</v>
      </c>
      <c r="W42" s="20">
        <f t="shared" si="8"/>
        <v>2924.665957195557</v>
      </c>
      <c r="X42" s="20">
        <f t="shared" si="9"/>
        <v>-341.58976368000015</v>
      </c>
      <c r="Y42" s="20">
        <f t="shared" si="10"/>
        <v>2583.076193515557</v>
      </c>
      <c r="Z42" s="21"/>
      <c r="AA42" s="20">
        <f t="shared" si="11"/>
        <v>5393.162728000003</v>
      </c>
      <c r="AB42" s="20">
        <f t="shared" si="12"/>
        <v>0</v>
      </c>
      <c r="AC42" s="20">
        <f t="shared" si="13"/>
        <v>0</v>
      </c>
      <c r="AD42" s="20">
        <f t="shared" si="14"/>
        <v>-8645.240341349785</v>
      </c>
      <c r="AE42" s="20">
        <f t="shared" si="15"/>
        <v>-3252.077613349782</v>
      </c>
      <c r="AF42" s="20">
        <f t="shared" si="23"/>
        <v>-250244.03964549181</v>
      </c>
      <c r="AG42" s="20">
        <f t="shared" si="16"/>
        <v>-253496.11725884158</v>
      </c>
      <c r="AQ42" s="21">
        <f t="shared" si="21"/>
        <v>-3252.077613349782</v>
      </c>
      <c r="AR42" s="21">
        <f t="shared" si="22"/>
        <v>-3252.077613349782</v>
      </c>
    </row>
    <row r="43" spans="1:44" ht="15.75" customHeight="1" x14ac:dyDescent="0.35">
      <c r="A43" s="5">
        <f t="shared" si="0"/>
        <v>2024</v>
      </c>
      <c r="B43" s="5" t="str">
        <f t="shared" si="1"/>
        <v>Q4</v>
      </c>
      <c r="C43" s="10">
        <v>45597</v>
      </c>
      <c r="D43" s="20">
        <f>DRE!D43</f>
        <v>8410.528198</v>
      </c>
      <c r="E43" s="20"/>
      <c r="F43" s="20"/>
      <c r="G43" s="20">
        <v>300</v>
      </c>
      <c r="H43" s="20"/>
      <c r="I43" s="20"/>
      <c r="J43" s="20">
        <f t="shared" si="24"/>
        <v>504.63169188000001</v>
      </c>
      <c r="K43" s="20">
        <f t="shared" si="2"/>
        <v>8645.240341349785</v>
      </c>
      <c r="L43" s="20">
        <f>Financiamento!D52</f>
        <v>6271.8654215317365</v>
      </c>
      <c r="M43" s="20">
        <f>Financiamento!C52</f>
        <v>2373.3749198180481</v>
      </c>
      <c r="N43" s="20"/>
      <c r="O43" s="20"/>
      <c r="Q43" s="20">
        <f t="shared" si="3"/>
        <v>8410.528198</v>
      </c>
      <c r="R43" s="20">
        <f t="shared" si="4"/>
        <v>-300</v>
      </c>
      <c r="S43" s="20">
        <f t="shared" si="5"/>
        <v>8110.528198</v>
      </c>
      <c r="T43" s="20"/>
      <c r="U43" s="20">
        <f t="shared" si="6"/>
        <v>8110.528198</v>
      </c>
      <c r="V43" s="20">
        <f t="shared" si="7"/>
        <v>-2373.3749198180481</v>
      </c>
      <c r="W43" s="20">
        <f t="shared" si="8"/>
        <v>5737.1532781819515</v>
      </c>
      <c r="X43" s="20">
        <f t="shared" si="9"/>
        <v>-504.63169188000001</v>
      </c>
      <c r="Y43" s="20">
        <f t="shared" si="10"/>
        <v>5232.5215863019512</v>
      </c>
      <c r="Z43" s="21"/>
      <c r="AA43" s="20">
        <f t="shared" si="11"/>
        <v>8110.528198</v>
      </c>
      <c r="AB43" s="20">
        <f t="shared" si="12"/>
        <v>0</v>
      </c>
      <c r="AC43" s="20">
        <f t="shared" si="13"/>
        <v>0</v>
      </c>
      <c r="AD43" s="20">
        <f t="shared" si="14"/>
        <v>-8645.240341349785</v>
      </c>
      <c r="AE43" s="20">
        <f t="shared" si="15"/>
        <v>-534.71214334978504</v>
      </c>
      <c r="AF43" s="20">
        <f t="shared" si="23"/>
        <v>-253496.11725884158</v>
      </c>
      <c r="AG43" s="20">
        <f t="shared" si="16"/>
        <v>-254030.82940219136</v>
      </c>
      <c r="AQ43" s="21">
        <f t="shared" si="21"/>
        <v>-534.71214334978504</v>
      </c>
      <c r="AR43" s="21">
        <f t="shared" si="22"/>
        <v>-534.71214334978504</v>
      </c>
    </row>
    <row r="44" spans="1:44" ht="15.75" customHeight="1" x14ac:dyDescent="0.35">
      <c r="A44" s="5">
        <f t="shared" si="0"/>
        <v>2024</v>
      </c>
      <c r="B44" s="5" t="str">
        <f t="shared" si="1"/>
        <v>Q4</v>
      </c>
      <c r="C44" s="10">
        <v>45627</v>
      </c>
      <c r="D44" s="20">
        <f>DRE!D44</f>
        <v>6666.4636330000003</v>
      </c>
      <c r="E44" s="20"/>
      <c r="F44" s="20"/>
      <c r="G44" s="20">
        <v>300</v>
      </c>
      <c r="H44" s="20"/>
      <c r="I44" s="20"/>
      <c r="J44" s="20">
        <f t="shared" si="24"/>
        <v>399.98781797999999</v>
      </c>
      <c r="K44" s="20">
        <f t="shared" si="2"/>
        <v>8645.240341349785</v>
      </c>
      <c r="L44" s="20">
        <f>Financiamento!D53</f>
        <v>6368.4521490233255</v>
      </c>
      <c r="M44" s="20">
        <f>Financiamento!C53</f>
        <v>2276.7881923264595</v>
      </c>
      <c r="N44" s="20"/>
      <c r="O44" s="20"/>
      <c r="Q44" s="20">
        <f t="shared" si="3"/>
        <v>6666.4636330000003</v>
      </c>
      <c r="R44" s="20">
        <f t="shared" si="4"/>
        <v>-300</v>
      </c>
      <c r="S44" s="20">
        <f t="shared" si="5"/>
        <v>6366.4636330000003</v>
      </c>
      <c r="T44" s="20"/>
      <c r="U44" s="20">
        <f t="shared" si="6"/>
        <v>6366.4636330000003</v>
      </c>
      <c r="V44" s="20">
        <f t="shared" si="7"/>
        <v>-2276.7881923264595</v>
      </c>
      <c r="W44" s="20">
        <f t="shared" si="8"/>
        <v>4089.6754406735408</v>
      </c>
      <c r="X44" s="20">
        <f t="shared" si="9"/>
        <v>-399.98781797999999</v>
      </c>
      <c r="Y44" s="20">
        <f t="shared" si="10"/>
        <v>3689.687622693541</v>
      </c>
      <c r="Z44" s="21"/>
      <c r="AA44" s="20">
        <f t="shared" si="11"/>
        <v>6366.4636330000003</v>
      </c>
      <c r="AB44" s="20">
        <f t="shared" si="12"/>
        <v>0</v>
      </c>
      <c r="AC44" s="20">
        <f t="shared" si="13"/>
        <v>0</v>
      </c>
      <c r="AD44" s="20">
        <f t="shared" si="14"/>
        <v>-8645.240341349785</v>
      </c>
      <c r="AE44" s="20">
        <f t="shared" si="15"/>
        <v>-2278.7767083497847</v>
      </c>
      <c r="AF44" s="20">
        <f t="shared" si="23"/>
        <v>-254030.82940219136</v>
      </c>
      <c r="AG44" s="20">
        <f t="shared" si="16"/>
        <v>-256309.60611054115</v>
      </c>
      <c r="AQ44" s="21">
        <f t="shared" si="21"/>
        <v>-2278.7767083497847</v>
      </c>
      <c r="AR44" s="21">
        <f t="shared" si="22"/>
        <v>-2278.7767083497847</v>
      </c>
    </row>
    <row r="45" spans="1:44" ht="15.75" customHeight="1" x14ac:dyDescent="0.35">
      <c r="A45" s="5">
        <f t="shared" si="0"/>
        <v>2025</v>
      </c>
      <c r="B45" s="5" t="str">
        <f t="shared" si="1"/>
        <v>Q1</v>
      </c>
      <c r="C45" s="10">
        <v>45658</v>
      </c>
      <c r="D45" s="20">
        <f>DRE!D45</f>
        <v>7369.655185999999</v>
      </c>
      <c r="E45" s="20"/>
      <c r="F45" s="20"/>
      <c r="G45" s="20">
        <v>300</v>
      </c>
      <c r="H45" s="20"/>
      <c r="I45" s="20"/>
      <c r="J45" s="20">
        <f t="shared" si="24"/>
        <v>442.17931115999994</v>
      </c>
      <c r="K45" s="20">
        <f t="shared" si="2"/>
        <v>8645.240341349785</v>
      </c>
      <c r="L45" s="20">
        <f>Financiamento!D54</f>
        <v>6466.5263121182852</v>
      </c>
      <c r="M45" s="20">
        <f>Financiamento!C54</f>
        <v>2178.7140292315003</v>
      </c>
      <c r="N45" s="20"/>
      <c r="O45" s="20"/>
      <c r="Q45" s="20">
        <f t="shared" si="3"/>
        <v>7369.655185999999</v>
      </c>
      <c r="R45" s="20">
        <f t="shared" si="4"/>
        <v>-300</v>
      </c>
      <c r="S45" s="20">
        <f t="shared" si="5"/>
        <v>7069.655185999999</v>
      </c>
      <c r="T45" s="20"/>
      <c r="U45" s="20">
        <f t="shared" si="6"/>
        <v>7069.655185999999</v>
      </c>
      <c r="V45" s="20">
        <f t="shared" si="7"/>
        <v>-2178.7140292315003</v>
      </c>
      <c r="W45" s="20">
        <f t="shared" si="8"/>
        <v>4890.9411567684983</v>
      </c>
      <c r="X45" s="20">
        <f t="shared" si="9"/>
        <v>-442.17931115999994</v>
      </c>
      <c r="Y45" s="20">
        <f t="shared" si="10"/>
        <v>4448.7618456084983</v>
      </c>
      <c r="Z45" s="21"/>
      <c r="AA45" s="20">
        <f t="shared" si="11"/>
        <v>7069.655185999999</v>
      </c>
      <c r="AB45" s="20">
        <f t="shared" si="12"/>
        <v>0</v>
      </c>
      <c r="AC45" s="20">
        <f t="shared" si="13"/>
        <v>0</v>
      </c>
      <c r="AD45" s="20">
        <f t="shared" si="14"/>
        <v>-8645.240341349785</v>
      </c>
      <c r="AE45" s="20">
        <f t="shared" si="15"/>
        <v>-1575.585155349786</v>
      </c>
      <c r="AF45" s="20">
        <f t="shared" si="23"/>
        <v>-256309.60611054115</v>
      </c>
      <c r="AG45" s="20">
        <f t="shared" si="16"/>
        <v>-257885.19126589093</v>
      </c>
      <c r="AQ45" s="21">
        <f t="shared" si="21"/>
        <v>-1575.585155349786</v>
      </c>
      <c r="AR45" s="21">
        <f t="shared" si="22"/>
        <v>-1575.585155349786</v>
      </c>
    </row>
    <row r="46" spans="1:44" ht="15.75" customHeight="1" x14ac:dyDescent="0.35">
      <c r="A46" s="5">
        <f t="shared" si="0"/>
        <v>2025</v>
      </c>
      <c r="B46" s="5" t="str">
        <f t="shared" si="1"/>
        <v>Q1</v>
      </c>
      <c r="C46" s="10">
        <v>45689</v>
      </c>
      <c r="D46" s="20">
        <f>DRE!D46</f>
        <v>9711.5084924736839</v>
      </c>
      <c r="E46" s="20"/>
      <c r="F46" s="20"/>
      <c r="G46" s="20">
        <v>300</v>
      </c>
      <c r="H46" s="20"/>
      <c r="I46" s="20"/>
      <c r="J46" s="20">
        <f t="shared" si="24"/>
        <v>582.69050954842101</v>
      </c>
      <c r="K46" s="20">
        <f t="shared" si="2"/>
        <v>8645.240341349785</v>
      </c>
      <c r="L46" s="20">
        <f>Financiamento!D55</f>
        <v>6566.1108173249067</v>
      </c>
      <c r="M46" s="20">
        <f>Financiamento!C55</f>
        <v>2079.1295240248787</v>
      </c>
      <c r="N46" s="20"/>
      <c r="O46" s="20"/>
      <c r="Q46" s="20">
        <f t="shared" si="3"/>
        <v>9711.5084924736839</v>
      </c>
      <c r="R46" s="20">
        <f t="shared" si="4"/>
        <v>-300</v>
      </c>
      <c r="S46" s="20">
        <f t="shared" si="5"/>
        <v>9411.5084924736839</v>
      </c>
      <c r="T46" s="20"/>
      <c r="U46" s="20">
        <f t="shared" si="6"/>
        <v>9411.5084924736839</v>
      </c>
      <c r="V46" s="20">
        <f t="shared" si="7"/>
        <v>-2079.1295240248787</v>
      </c>
      <c r="W46" s="20">
        <f t="shared" si="8"/>
        <v>7332.3789684488056</v>
      </c>
      <c r="X46" s="20">
        <f t="shared" si="9"/>
        <v>-582.69050954842101</v>
      </c>
      <c r="Y46" s="20">
        <f t="shared" si="10"/>
        <v>6749.6884589003848</v>
      </c>
      <c r="Z46" s="21"/>
      <c r="AA46" s="20">
        <f t="shared" si="11"/>
        <v>9411.5084924736839</v>
      </c>
      <c r="AB46" s="20">
        <f t="shared" si="12"/>
        <v>0</v>
      </c>
      <c r="AC46" s="20">
        <f t="shared" si="13"/>
        <v>0</v>
      </c>
      <c r="AD46" s="20">
        <f t="shared" si="14"/>
        <v>-8645.240341349785</v>
      </c>
      <c r="AE46" s="20">
        <f t="shared" si="15"/>
        <v>766.26815112389886</v>
      </c>
      <c r="AF46" s="20">
        <f t="shared" si="23"/>
        <v>-257885.19126589093</v>
      </c>
      <c r="AG46" s="20">
        <f t="shared" si="16"/>
        <v>-257118.92311476704</v>
      </c>
      <c r="AQ46" s="21">
        <f t="shared" si="21"/>
        <v>766.26815112389886</v>
      </c>
      <c r="AR46" s="21">
        <f t="shared" si="22"/>
        <v>766.26815112389886</v>
      </c>
    </row>
    <row r="47" spans="1:44" ht="15.75" customHeight="1" x14ac:dyDescent="0.35">
      <c r="A47" s="5">
        <f t="shared" si="0"/>
        <v>2025</v>
      </c>
      <c r="B47" s="5" t="str">
        <f t="shared" si="1"/>
        <v>Q1</v>
      </c>
      <c r="C47" s="10">
        <v>45717</v>
      </c>
      <c r="D47" s="20">
        <f>DRE!D47</f>
        <v>8151.3257507593999</v>
      </c>
      <c r="E47" s="20"/>
      <c r="F47" s="20"/>
      <c r="G47" s="20">
        <v>300</v>
      </c>
      <c r="H47" s="20"/>
      <c r="I47" s="20"/>
      <c r="J47" s="20">
        <f t="shared" si="24"/>
        <v>489.07954504556398</v>
      </c>
      <c r="K47" s="20">
        <f t="shared" si="2"/>
        <v>8645.240341349785</v>
      </c>
      <c r="L47" s="20">
        <f>Financiamento!D56</f>
        <v>6667.2289239117099</v>
      </c>
      <c r="M47" s="20">
        <f>Financiamento!C56</f>
        <v>1978.0114174380749</v>
      </c>
      <c r="N47" s="20"/>
      <c r="O47" s="20"/>
      <c r="Q47" s="20">
        <f t="shared" si="3"/>
        <v>8151.3257507593999</v>
      </c>
      <c r="R47" s="20">
        <f t="shared" si="4"/>
        <v>-300</v>
      </c>
      <c r="S47" s="20">
        <f t="shared" si="5"/>
        <v>7851.3257507593999</v>
      </c>
      <c r="T47" s="20"/>
      <c r="U47" s="20">
        <f t="shared" si="6"/>
        <v>7851.3257507593999</v>
      </c>
      <c r="V47" s="20">
        <f t="shared" si="7"/>
        <v>-1978.0114174380749</v>
      </c>
      <c r="W47" s="20">
        <f t="shared" si="8"/>
        <v>5873.3143333213247</v>
      </c>
      <c r="X47" s="20">
        <f t="shared" si="9"/>
        <v>-489.07954504556398</v>
      </c>
      <c r="Y47" s="20">
        <f t="shared" si="10"/>
        <v>5384.2347882757604</v>
      </c>
      <c r="Z47" s="21"/>
      <c r="AA47" s="20">
        <f t="shared" si="11"/>
        <v>7851.3257507593999</v>
      </c>
      <c r="AB47" s="20">
        <f t="shared" si="12"/>
        <v>0</v>
      </c>
      <c r="AC47" s="20">
        <f t="shared" si="13"/>
        <v>0</v>
      </c>
      <c r="AD47" s="20">
        <f t="shared" si="14"/>
        <v>-8645.240341349785</v>
      </c>
      <c r="AE47" s="20">
        <f t="shared" si="15"/>
        <v>-793.91459059038516</v>
      </c>
      <c r="AF47" s="20">
        <f t="shared" si="23"/>
        <v>-257118.92311476704</v>
      </c>
      <c r="AG47" s="20">
        <f t="shared" si="16"/>
        <v>-257912.83770535741</v>
      </c>
      <c r="AQ47" s="21">
        <f t="shared" si="21"/>
        <v>-793.91459059038516</v>
      </c>
      <c r="AR47" s="21">
        <f t="shared" si="22"/>
        <v>-793.91459059038516</v>
      </c>
    </row>
    <row r="48" spans="1:44" ht="15.75" customHeight="1" x14ac:dyDescent="0.35">
      <c r="A48" s="5">
        <f t="shared" si="0"/>
        <v>2025</v>
      </c>
      <c r="B48" s="5" t="str">
        <f t="shared" si="1"/>
        <v>Q2</v>
      </c>
      <c r="C48" s="10">
        <v>45748</v>
      </c>
      <c r="D48" s="20">
        <f>DRE!D48</f>
        <v>4025.7988310000005</v>
      </c>
      <c r="E48" s="20"/>
      <c r="F48" s="20"/>
      <c r="G48" s="20">
        <v>300</v>
      </c>
      <c r="H48" s="20"/>
      <c r="I48" s="20"/>
      <c r="J48" s="20">
        <f t="shared" si="24"/>
        <v>241.54792986000001</v>
      </c>
      <c r="K48" s="20">
        <f t="shared" si="2"/>
        <v>8645.240341349785</v>
      </c>
      <c r="L48" s="20">
        <f>Financiamento!D57</f>
        <v>6769.9042493399502</v>
      </c>
      <c r="M48" s="20">
        <f>Financiamento!C57</f>
        <v>1875.3360920098346</v>
      </c>
      <c r="N48" s="20"/>
      <c r="O48" s="20"/>
      <c r="Q48" s="20">
        <f t="shared" si="3"/>
        <v>4025.7988310000005</v>
      </c>
      <c r="R48" s="20">
        <f t="shared" si="4"/>
        <v>-300</v>
      </c>
      <c r="S48" s="20">
        <f t="shared" si="5"/>
        <v>3725.7988310000005</v>
      </c>
      <c r="T48" s="20"/>
      <c r="U48" s="20">
        <f t="shared" si="6"/>
        <v>3725.7988310000005</v>
      </c>
      <c r="V48" s="20">
        <f t="shared" si="7"/>
        <v>-1875.3360920098346</v>
      </c>
      <c r="W48" s="20">
        <f t="shared" si="8"/>
        <v>1850.4627389901659</v>
      </c>
      <c r="X48" s="20">
        <f t="shared" si="9"/>
        <v>-241.54792986000001</v>
      </c>
      <c r="Y48" s="20">
        <f t="shared" si="10"/>
        <v>1608.9148091301658</v>
      </c>
      <c r="Z48" s="21"/>
      <c r="AA48" s="20">
        <f t="shared" si="11"/>
        <v>3725.7988310000005</v>
      </c>
      <c r="AB48" s="20">
        <f t="shared" si="12"/>
        <v>0</v>
      </c>
      <c r="AC48" s="20">
        <f t="shared" si="13"/>
        <v>0</v>
      </c>
      <c r="AD48" s="20">
        <f t="shared" si="14"/>
        <v>-8645.240341349785</v>
      </c>
      <c r="AE48" s="20">
        <f t="shared" si="15"/>
        <v>-4919.4415103497849</v>
      </c>
      <c r="AF48" s="20">
        <f t="shared" si="23"/>
        <v>-257912.83770535741</v>
      </c>
      <c r="AG48" s="20">
        <f t="shared" si="16"/>
        <v>-262832.27921570721</v>
      </c>
      <c r="AQ48" s="21">
        <f t="shared" si="21"/>
        <v>-4919.4415103497849</v>
      </c>
      <c r="AR48" s="21">
        <f t="shared" si="22"/>
        <v>-4919.4415103497849</v>
      </c>
    </row>
    <row r="49" spans="1:44" ht="15.75" customHeight="1" x14ac:dyDescent="0.35">
      <c r="A49" s="5">
        <f t="shared" si="0"/>
        <v>2025</v>
      </c>
      <c r="B49" s="5" t="str">
        <f t="shared" si="1"/>
        <v>Q2</v>
      </c>
      <c r="C49" s="10">
        <v>45749</v>
      </c>
      <c r="D49" s="20">
        <f>DRE!D49</f>
        <v>5868.595908231513</v>
      </c>
      <c r="E49" s="20"/>
      <c r="F49" s="20"/>
      <c r="G49" s="20">
        <v>300</v>
      </c>
      <c r="H49" s="20"/>
      <c r="I49" s="20"/>
      <c r="J49" s="20">
        <f t="shared" si="24"/>
        <v>352.11575449389079</v>
      </c>
      <c r="K49" s="20">
        <f t="shared" si="2"/>
        <v>8645.240341349785</v>
      </c>
      <c r="L49" s="20">
        <f>Financiamento!D58</f>
        <v>6874.1607747797852</v>
      </c>
      <c r="M49" s="20">
        <f>Financiamento!C58</f>
        <v>1771.0795665699995</v>
      </c>
      <c r="N49" s="20"/>
      <c r="O49" s="20"/>
      <c r="Q49" s="20">
        <f t="shared" si="3"/>
        <v>5868.595908231513</v>
      </c>
      <c r="R49" s="20">
        <f>-SUM(F48:I48)</f>
        <v>-300</v>
      </c>
      <c r="S49" s="20">
        <f t="shared" si="5"/>
        <v>5568.595908231513</v>
      </c>
      <c r="T49" s="20"/>
      <c r="U49" s="20">
        <f t="shared" si="6"/>
        <v>5568.595908231513</v>
      </c>
      <c r="V49" s="20">
        <f>-M48</f>
        <v>-1875.3360920098346</v>
      </c>
      <c r="W49" s="20">
        <f t="shared" si="8"/>
        <v>3693.2598162216782</v>
      </c>
      <c r="X49" s="20">
        <f>-J48</f>
        <v>-241.54792986000001</v>
      </c>
      <c r="Y49" s="20">
        <f t="shared" si="10"/>
        <v>3451.7118863616784</v>
      </c>
      <c r="Z49" s="21"/>
      <c r="AA49" s="20">
        <f t="shared" si="11"/>
        <v>5568.595908231513</v>
      </c>
      <c r="AB49" s="20">
        <f>-O48</f>
        <v>0</v>
      </c>
      <c r="AC49" s="20">
        <f t="shared" si="13"/>
        <v>0</v>
      </c>
      <c r="AD49" s="20">
        <f>-K48</f>
        <v>-8645.240341349785</v>
      </c>
      <c r="AE49" s="20">
        <f t="shared" si="15"/>
        <v>-3076.644433118272</v>
      </c>
      <c r="AF49" s="20">
        <f t="shared" si="23"/>
        <v>-262832.27921570721</v>
      </c>
      <c r="AG49" s="20">
        <f t="shared" si="16"/>
        <v>-265908.9236488255</v>
      </c>
      <c r="AQ49" s="21">
        <f t="shared" si="21"/>
        <v>-3076.644433118272</v>
      </c>
      <c r="AR49" s="21">
        <f t="shared" si="22"/>
        <v>-3076.644433118272</v>
      </c>
    </row>
    <row r="50" spans="1:44" ht="15.75" customHeight="1" x14ac:dyDescent="0.35">
      <c r="A50" s="5">
        <f t="shared" si="0"/>
        <v>2025</v>
      </c>
      <c r="B50" s="5" t="str">
        <f t="shared" si="1"/>
        <v>Q2</v>
      </c>
      <c r="C50" s="10">
        <v>45750</v>
      </c>
      <c r="D50" s="20">
        <f>DRE!D50</f>
        <v>6262.4165578509783</v>
      </c>
      <c r="E50" s="20"/>
      <c r="F50" s="20"/>
      <c r="G50" s="20">
        <v>300</v>
      </c>
      <c r="H50" s="20"/>
      <c r="I50" s="20"/>
      <c r="J50" s="20">
        <f t="shared" si="24"/>
        <v>375.74499347105871</v>
      </c>
      <c r="K50" s="20">
        <f t="shared" si="2"/>
        <v>8645.240341349785</v>
      </c>
      <c r="L50" s="20">
        <f>Financiamento!D59</f>
        <v>6980.0228507113943</v>
      </c>
      <c r="M50" s="20">
        <f>Financiamento!C59</f>
        <v>1665.2174906383907</v>
      </c>
      <c r="N50" s="20"/>
      <c r="O50" s="20"/>
      <c r="Q50" s="20">
        <f t="shared" si="3"/>
        <v>6262.4165578509783</v>
      </c>
      <c r="R50" s="20">
        <f>-SUM(F48:I48)</f>
        <v>-300</v>
      </c>
      <c r="S50" s="20">
        <f t="shared" si="5"/>
        <v>5962.4165578509783</v>
      </c>
      <c r="T50" s="20"/>
      <c r="U50" s="20">
        <f t="shared" si="6"/>
        <v>5962.4165578509783</v>
      </c>
      <c r="V50" s="20">
        <f>-M48</f>
        <v>-1875.3360920098346</v>
      </c>
      <c r="W50" s="20">
        <f t="shared" si="8"/>
        <v>4087.0804658411435</v>
      </c>
      <c r="X50" s="20">
        <f>-J48</f>
        <v>-241.54792986000001</v>
      </c>
      <c r="Y50" s="20">
        <f t="shared" si="10"/>
        <v>3845.5325359811436</v>
      </c>
      <c r="Z50" s="21"/>
      <c r="AA50" s="20">
        <f t="shared" si="11"/>
        <v>5962.4165578509783</v>
      </c>
      <c r="AB50" s="20">
        <f>-O48</f>
        <v>0</v>
      </c>
      <c r="AC50" s="20">
        <f t="shared" si="13"/>
        <v>0</v>
      </c>
      <c r="AD50" s="20">
        <f>-K48</f>
        <v>-8645.240341349785</v>
      </c>
      <c r="AE50" s="20">
        <f t="shared" si="15"/>
        <v>-2682.8237834988067</v>
      </c>
      <c r="AF50" s="20">
        <f t="shared" si="23"/>
        <v>-265908.9236488255</v>
      </c>
      <c r="AG50" s="20">
        <f t="shared" si="16"/>
        <v>-268591.74743232428</v>
      </c>
      <c r="AQ50" s="21">
        <f t="shared" si="21"/>
        <v>-2682.8237834988067</v>
      </c>
      <c r="AR50" s="21">
        <f t="shared" si="22"/>
        <v>-2682.8237834988067</v>
      </c>
    </row>
    <row r="51" spans="1:44" ht="15.75" customHeight="1" x14ac:dyDescent="0.35">
      <c r="A51" s="5">
        <f t="shared" si="0"/>
        <v>2025</v>
      </c>
      <c r="B51" s="5" t="str">
        <f t="shared" si="1"/>
        <v>Q2</v>
      </c>
      <c r="C51" s="10">
        <v>45751</v>
      </c>
      <c r="D51" s="20">
        <f>DRE!D51</f>
        <v>6013.1158572666654</v>
      </c>
      <c r="E51" s="20"/>
      <c r="F51" s="20"/>
      <c r="G51" s="20">
        <v>300</v>
      </c>
      <c r="H51" s="20"/>
      <c r="I51" s="20"/>
      <c r="J51" s="20">
        <f t="shared" si="24"/>
        <v>360.78695143599992</v>
      </c>
      <c r="K51" s="20">
        <f t="shared" si="2"/>
        <v>8645.240341349785</v>
      </c>
      <c r="L51" s="20">
        <f>Financiamento!D60</f>
        <v>7087.5152026123496</v>
      </c>
      <c r="M51" s="20">
        <f>Financiamento!C60</f>
        <v>1557.7251387374354</v>
      </c>
      <c r="N51" s="20"/>
      <c r="O51" s="20"/>
      <c r="Q51" s="20">
        <f t="shared" si="3"/>
        <v>6013.1158572666654</v>
      </c>
      <c r="R51" s="20">
        <f>-SUM(F48:I48)</f>
        <v>-300</v>
      </c>
      <c r="S51" s="20">
        <f t="shared" si="5"/>
        <v>5713.1158572666654</v>
      </c>
      <c r="T51" s="20"/>
      <c r="U51" s="20">
        <f t="shared" si="6"/>
        <v>5713.1158572666654</v>
      </c>
      <c r="V51" s="20">
        <f>-M48</f>
        <v>-1875.3360920098346</v>
      </c>
      <c r="W51" s="20">
        <f t="shared" si="8"/>
        <v>3837.7797652568306</v>
      </c>
      <c r="X51" s="20">
        <f>-J48</f>
        <v>-241.54792986000001</v>
      </c>
      <c r="Y51" s="20">
        <f t="shared" si="10"/>
        <v>3596.2318353968308</v>
      </c>
      <c r="Z51" s="21"/>
      <c r="AA51" s="20">
        <f t="shared" si="11"/>
        <v>5713.1158572666654</v>
      </c>
      <c r="AB51" s="20">
        <f>-O48</f>
        <v>0</v>
      </c>
      <c r="AC51" s="20">
        <f t="shared" si="13"/>
        <v>0</v>
      </c>
      <c r="AD51" s="20">
        <f>-K48</f>
        <v>-8645.240341349785</v>
      </c>
      <c r="AE51" s="20">
        <f t="shared" si="15"/>
        <v>-2932.1244840831196</v>
      </c>
      <c r="AF51" s="20">
        <f t="shared" si="23"/>
        <v>-268591.74743232428</v>
      </c>
      <c r="AG51" s="20">
        <f t="shared" si="16"/>
        <v>-271523.87191640737</v>
      </c>
      <c r="AQ51" s="21">
        <f t="shared" si="21"/>
        <v>-2932.1244840831196</v>
      </c>
      <c r="AR51" s="21">
        <f t="shared" si="22"/>
        <v>-2932.1244840831196</v>
      </c>
    </row>
    <row r="52" spans="1:44" ht="15.75" customHeight="1" x14ac:dyDescent="0.35">
      <c r="A52" s="5">
        <f t="shared" si="0"/>
        <v>2025</v>
      </c>
      <c r="B52" s="5" t="str">
        <f t="shared" si="1"/>
        <v>Q2</v>
      </c>
      <c r="C52" s="10">
        <v>45752</v>
      </c>
      <c r="D52" s="20">
        <f>DRE!D52</f>
        <v>6234.2216865714281</v>
      </c>
      <c r="E52" s="20"/>
      <c r="F52" s="20"/>
      <c r="G52" s="20">
        <v>300</v>
      </c>
      <c r="H52" s="20"/>
      <c r="I52" s="20"/>
      <c r="J52" s="20">
        <f t="shared" si="24"/>
        <v>374.05330119428567</v>
      </c>
      <c r="K52" s="20">
        <f t="shared" si="2"/>
        <v>8645.240341349785</v>
      </c>
      <c r="L52" s="20">
        <f>Financiamento!D61</f>
        <v>7196.6629367325804</v>
      </c>
      <c r="M52" s="20">
        <f>Financiamento!C61</f>
        <v>1448.577404617205</v>
      </c>
      <c r="N52" s="20"/>
      <c r="O52" s="20"/>
      <c r="Q52" s="20">
        <f t="shared" si="3"/>
        <v>6234.2216865714281</v>
      </c>
      <c r="R52" s="20">
        <f>-SUM(F48:I48)</f>
        <v>-300</v>
      </c>
      <c r="S52" s="20">
        <f t="shared" si="5"/>
        <v>5934.2216865714281</v>
      </c>
      <c r="T52" s="20"/>
      <c r="U52" s="20">
        <f t="shared" si="6"/>
        <v>5934.2216865714281</v>
      </c>
      <c r="V52" s="20">
        <f>-M48</f>
        <v>-1875.3360920098346</v>
      </c>
      <c r="W52" s="20">
        <f t="shared" si="8"/>
        <v>4058.8855945615933</v>
      </c>
      <c r="X52" s="20">
        <f>-J48</f>
        <v>-241.54792986000001</v>
      </c>
      <c r="Y52" s="20">
        <f t="shared" si="10"/>
        <v>3817.3376647015934</v>
      </c>
      <c r="Z52" s="21"/>
      <c r="AA52" s="20">
        <f t="shared" si="11"/>
        <v>5934.2216865714281</v>
      </c>
      <c r="AB52" s="20">
        <f>-O48</f>
        <v>0</v>
      </c>
      <c r="AC52" s="20">
        <f t="shared" si="13"/>
        <v>0</v>
      </c>
      <c r="AD52" s="20">
        <f>-K48</f>
        <v>-8645.240341349785</v>
      </c>
      <c r="AE52" s="20">
        <f t="shared" si="15"/>
        <v>-2711.0186547783569</v>
      </c>
      <c r="AF52" s="20">
        <f t="shared" si="23"/>
        <v>-271523.87191640737</v>
      </c>
      <c r="AG52" s="20">
        <f t="shared" si="16"/>
        <v>-274234.89057118574</v>
      </c>
      <c r="AQ52" s="21">
        <f t="shared" si="21"/>
        <v>-2711.0186547783569</v>
      </c>
      <c r="AR52" s="21">
        <f t="shared" si="22"/>
        <v>-2711.0186547783569</v>
      </c>
    </row>
    <row r="53" spans="1:44" ht="15.75" customHeight="1" x14ac:dyDescent="0.35">
      <c r="A53" s="5">
        <f t="shared" si="0"/>
        <v>2025</v>
      </c>
      <c r="B53" s="5" t="str">
        <f t="shared" si="1"/>
        <v>Q2</v>
      </c>
      <c r="C53" s="10">
        <v>45753</v>
      </c>
      <c r="D53" s="20">
        <f>DRE!D53</f>
        <v>9274.0665080571434</v>
      </c>
      <c r="E53" s="20"/>
      <c r="F53" s="20"/>
      <c r="G53" s="20">
        <v>300</v>
      </c>
      <c r="H53" s="20"/>
      <c r="I53" s="20"/>
      <c r="J53" s="20">
        <f t="shared" si="24"/>
        <v>556.44399048342859</v>
      </c>
      <c r="K53" s="20">
        <f t="shared" si="2"/>
        <v>8645.240341349785</v>
      </c>
      <c r="L53" s="20">
        <f>Financiamento!D62</f>
        <v>7307.4915459582617</v>
      </c>
      <c r="M53" s="20">
        <f>Financiamento!C62</f>
        <v>1337.7487953915233</v>
      </c>
      <c r="N53" s="20"/>
      <c r="O53" s="20"/>
      <c r="Q53" s="20">
        <f t="shared" si="3"/>
        <v>9274.0665080571434</v>
      </c>
      <c r="R53" s="20">
        <f>-SUM(F48:I48)</f>
        <v>-300</v>
      </c>
      <c r="S53" s="20">
        <f t="shared" si="5"/>
        <v>8974.0665080571434</v>
      </c>
      <c r="T53" s="20"/>
      <c r="U53" s="20">
        <f t="shared" si="6"/>
        <v>8974.0665080571434</v>
      </c>
      <c r="V53" s="20">
        <f>-M48</f>
        <v>-1875.3360920098346</v>
      </c>
      <c r="W53" s="20">
        <f t="shared" si="8"/>
        <v>7098.7304160473086</v>
      </c>
      <c r="X53" s="20">
        <f>-J48</f>
        <v>-241.54792986000001</v>
      </c>
      <c r="Y53" s="20">
        <f t="shared" si="10"/>
        <v>6857.1824861873083</v>
      </c>
      <c r="Z53" s="21"/>
      <c r="AA53" s="20">
        <f t="shared" si="11"/>
        <v>8974.0665080571434</v>
      </c>
      <c r="AB53" s="20">
        <f>-O48</f>
        <v>0</v>
      </c>
      <c r="AC53" s="20">
        <f t="shared" si="13"/>
        <v>0</v>
      </c>
      <c r="AD53" s="20">
        <f>-K48</f>
        <v>-8645.240341349785</v>
      </c>
      <c r="AE53" s="20">
        <f t="shared" si="15"/>
        <v>328.82616670735842</v>
      </c>
      <c r="AF53" s="20">
        <f t="shared" si="23"/>
        <v>-274234.89057118574</v>
      </c>
      <c r="AG53" s="20">
        <f t="shared" si="16"/>
        <v>-273906.06440447835</v>
      </c>
      <c r="AQ53" s="21">
        <f t="shared" si="21"/>
        <v>328.82616670735842</v>
      </c>
      <c r="AR53" s="21">
        <f t="shared" si="22"/>
        <v>328.82616670735842</v>
      </c>
    </row>
    <row r="54" spans="1:44" ht="15.75" customHeight="1" x14ac:dyDescent="0.35">
      <c r="A54" s="5">
        <f t="shared" si="0"/>
        <v>2025</v>
      </c>
      <c r="B54" s="5" t="str">
        <f t="shared" si="1"/>
        <v>Q2</v>
      </c>
      <c r="C54" s="10">
        <v>45754</v>
      </c>
      <c r="D54" s="20">
        <f>DRE!D54</f>
        <v>6975.2468614464278</v>
      </c>
      <c r="E54" s="20"/>
      <c r="F54" s="20"/>
      <c r="G54" s="20">
        <v>300</v>
      </c>
      <c r="H54" s="20"/>
      <c r="I54" s="20"/>
      <c r="J54" s="20">
        <f t="shared" si="24"/>
        <v>418.51481168678566</v>
      </c>
      <c r="K54" s="20">
        <f t="shared" si="2"/>
        <v>8645.240341349785</v>
      </c>
      <c r="L54" s="20">
        <f>Financiamento!D63</f>
        <v>7420.0269157660186</v>
      </c>
      <c r="M54" s="20">
        <f>Financiamento!C63</f>
        <v>1225.2134255837661</v>
      </c>
      <c r="N54" s="20"/>
      <c r="O54" s="20"/>
      <c r="Q54" s="20">
        <f t="shared" si="3"/>
        <v>6975.2468614464278</v>
      </c>
      <c r="R54" s="20">
        <f>-SUM(F48:I48)</f>
        <v>-300</v>
      </c>
      <c r="S54" s="20">
        <f t="shared" si="5"/>
        <v>6675.2468614464278</v>
      </c>
      <c r="T54" s="20"/>
      <c r="U54" s="20">
        <f t="shared" si="6"/>
        <v>6675.2468614464278</v>
      </c>
      <c r="V54" s="20">
        <f>-M48</f>
        <v>-1875.3360920098346</v>
      </c>
      <c r="W54" s="20">
        <f t="shared" si="8"/>
        <v>4799.910769436593</v>
      </c>
      <c r="X54" s="20">
        <f>-J48</f>
        <v>-241.54792986000001</v>
      </c>
      <c r="Y54" s="20">
        <f t="shared" si="10"/>
        <v>4558.3628395765927</v>
      </c>
      <c r="Z54" s="21"/>
      <c r="AA54" s="20">
        <f t="shared" si="11"/>
        <v>6675.2468614464278</v>
      </c>
      <c r="AB54" s="20">
        <f>-O48</f>
        <v>0</v>
      </c>
      <c r="AC54" s="20">
        <f t="shared" si="13"/>
        <v>0</v>
      </c>
      <c r="AD54" s="20">
        <f>-K48</f>
        <v>-8645.240341349785</v>
      </c>
      <c r="AE54" s="20">
        <f t="shared" si="15"/>
        <v>-1969.9934799033572</v>
      </c>
      <c r="AF54" s="20">
        <f t="shared" si="23"/>
        <v>-273906.06440447835</v>
      </c>
      <c r="AG54" s="20">
        <f t="shared" si="16"/>
        <v>-275876.05788438173</v>
      </c>
      <c r="AQ54" s="21">
        <f t="shared" si="21"/>
        <v>-1969.9934799033572</v>
      </c>
      <c r="AR54" s="21">
        <f t="shared" si="22"/>
        <v>-1969.9934799033572</v>
      </c>
    </row>
    <row r="55" spans="1:44" ht="15.75" customHeight="1" x14ac:dyDescent="0.35">
      <c r="A55" s="5">
        <f t="shared" si="0"/>
        <v>2025</v>
      </c>
      <c r="B55" s="5" t="str">
        <f t="shared" si="1"/>
        <v>Q2</v>
      </c>
      <c r="C55" s="10">
        <v>45755</v>
      </c>
      <c r="D55" s="20">
        <f>DRE!D55</f>
        <v>8258.9164528269212</v>
      </c>
      <c r="E55" s="20"/>
      <c r="F55" s="20"/>
      <c r="G55" s="20">
        <v>300</v>
      </c>
      <c r="H55" s="20"/>
      <c r="I55" s="20"/>
      <c r="J55" s="20">
        <f t="shared" si="24"/>
        <v>495.53498716961525</v>
      </c>
      <c r="K55" s="20">
        <f t="shared" si="2"/>
        <v>8645.240341349785</v>
      </c>
      <c r="L55" s="20">
        <f>Financiamento!D64</f>
        <v>7534.2953302688156</v>
      </c>
      <c r="M55" s="20">
        <f>Financiamento!C64</f>
        <v>1110.9450110809694</v>
      </c>
      <c r="N55" s="20"/>
      <c r="O55" s="20"/>
      <c r="Q55" s="20">
        <f t="shared" si="3"/>
        <v>8258.9164528269212</v>
      </c>
      <c r="R55" s="20">
        <f>-SUM(F48:I48)</f>
        <v>-300</v>
      </c>
      <c r="S55" s="20">
        <f t="shared" si="5"/>
        <v>7958.9164528269212</v>
      </c>
      <c r="T55" s="20"/>
      <c r="U55" s="20">
        <f t="shared" si="6"/>
        <v>7958.9164528269212</v>
      </c>
      <c r="V55" s="20">
        <f>-M48</f>
        <v>-1875.3360920098346</v>
      </c>
      <c r="W55" s="20">
        <f t="shared" si="8"/>
        <v>6083.5803608170863</v>
      </c>
      <c r="X55" s="20">
        <f>-J48</f>
        <v>-241.54792986000001</v>
      </c>
      <c r="Y55" s="20">
        <f t="shared" si="10"/>
        <v>5842.032430957086</v>
      </c>
      <c r="Z55" s="21"/>
      <c r="AA55" s="20">
        <f t="shared" si="11"/>
        <v>7958.9164528269212</v>
      </c>
      <c r="AB55" s="20">
        <f>-O48</f>
        <v>0</v>
      </c>
      <c r="AC55" s="20">
        <f t="shared" si="13"/>
        <v>0</v>
      </c>
      <c r="AD55" s="20">
        <f>-K48</f>
        <v>-8645.240341349785</v>
      </c>
      <c r="AE55" s="20">
        <f t="shared" si="15"/>
        <v>-686.32388852286385</v>
      </c>
      <c r="AF55" s="20">
        <f t="shared" si="23"/>
        <v>-275876.05788438173</v>
      </c>
      <c r="AG55" s="20">
        <f t="shared" si="16"/>
        <v>-276562.3817729046</v>
      </c>
      <c r="AQ55" s="21">
        <f t="shared" si="21"/>
        <v>-686.32388852286385</v>
      </c>
      <c r="AR55" s="21">
        <f t="shared" si="22"/>
        <v>-686.32388852286385</v>
      </c>
    </row>
    <row r="56" spans="1:44" ht="15.75" customHeight="1" x14ac:dyDescent="0.35">
      <c r="A56" s="5">
        <f t="shared" si="0"/>
        <v>2025</v>
      </c>
      <c r="B56" s="5" t="str">
        <f t="shared" si="1"/>
        <v>Q2</v>
      </c>
      <c r="C56" s="10">
        <v>45756</v>
      </c>
      <c r="D56" s="20">
        <f>DRE!D56</f>
        <v>9620.5778876286458</v>
      </c>
      <c r="E56" s="20"/>
      <c r="F56" s="20"/>
      <c r="G56" s="20">
        <v>300</v>
      </c>
      <c r="H56" s="20"/>
      <c r="I56" s="20"/>
      <c r="J56" s="20">
        <f t="shared" si="24"/>
        <v>577.23467325771878</v>
      </c>
      <c r="K56" s="20">
        <f t="shared" si="2"/>
        <v>8645.240341349785</v>
      </c>
      <c r="L56" s="20">
        <f>Financiamento!D65</f>
        <v>7650.3234783549551</v>
      </c>
      <c r="M56" s="20">
        <f>Financiamento!C65</f>
        <v>994.91686299482967</v>
      </c>
      <c r="N56" s="20"/>
      <c r="O56" s="20"/>
      <c r="Q56" s="20">
        <f t="shared" si="3"/>
        <v>9620.5778876286458</v>
      </c>
      <c r="R56" s="20">
        <f>-SUM(F48:I48)</f>
        <v>-300</v>
      </c>
      <c r="S56" s="20">
        <f t="shared" si="5"/>
        <v>9320.5778876286458</v>
      </c>
      <c r="T56" s="20"/>
      <c r="U56" s="20">
        <f t="shared" si="6"/>
        <v>9320.5778876286458</v>
      </c>
      <c r="V56" s="20">
        <f>-M48</f>
        <v>-1875.3360920098346</v>
      </c>
      <c r="W56" s="20">
        <f t="shared" si="8"/>
        <v>7445.241795618811</v>
      </c>
      <c r="X56" s="20">
        <f>-J48</f>
        <v>-241.54792986000001</v>
      </c>
      <c r="Y56" s="20">
        <f t="shared" si="10"/>
        <v>7203.6938657588107</v>
      </c>
      <c r="Z56" s="21"/>
      <c r="AA56" s="20">
        <f t="shared" si="11"/>
        <v>9320.5778876286458</v>
      </c>
      <c r="AB56" s="20">
        <f>-O48</f>
        <v>0</v>
      </c>
      <c r="AC56" s="20">
        <f t="shared" si="13"/>
        <v>0</v>
      </c>
      <c r="AD56" s="20">
        <f>-K48</f>
        <v>-8645.240341349785</v>
      </c>
      <c r="AE56" s="20">
        <f t="shared" si="15"/>
        <v>675.33754627886083</v>
      </c>
      <c r="AF56" s="20">
        <f t="shared" si="23"/>
        <v>-276562.3817729046</v>
      </c>
      <c r="AG56" s="20">
        <f t="shared" si="16"/>
        <v>-275887.04422662576</v>
      </c>
      <c r="AQ56" s="21">
        <f t="shared" si="21"/>
        <v>675.33754627886083</v>
      </c>
      <c r="AR56" s="21">
        <f t="shared" si="22"/>
        <v>675.33754627886083</v>
      </c>
    </row>
    <row r="57" spans="1:44" ht="15.75" customHeight="1" x14ac:dyDescent="0.35">
      <c r="A57" s="5">
        <f t="shared" si="0"/>
        <v>2025</v>
      </c>
      <c r="B57" s="5" t="str">
        <f t="shared" si="1"/>
        <v>Q2</v>
      </c>
      <c r="C57" s="10">
        <v>45757</v>
      </c>
      <c r="D57" s="20">
        <f>DRE!D57</f>
        <v>9504.8005373362084</v>
      </c>
      <c r="E57" s="20"/>
      <c r="F57" s="20"/>
      <c r="G57" s="20">
        <v>300</v>
      </c>
      <c r="H57" s="20"/>
      <c r="I57" s="20"/>
      <c r="J57" s="20">
        <f t="shared" si="24"/>
        <v>570.28803224017247</v>
      </c>
      <c r="K57" s="20">
        <f t="shared" si="2"/>
        <v>8645.240341349785</v>
      </c>
      <c r="L57" s="20">
        <f>Financiamento!D66</f>
        <v>7768.1384599216217</v>
      </c>
      <c r="M57" s="20">
        <f>Financiamento!C66</f>
        <v>877.10188142816332</v>
      </c>
      <c r="N57" s="20"/>
      <c r="O57" s="20"/>
      <c r="Q57" s="20">
        <f t="shared" si="3"/>
        <v>9504.8005373362084</v>
      </c>
      <c r="R57" s="20">
        <f>-SUM(F48:I48)</f>
        <v>-300</v>
      </c>
      <c r="S57" s="20">
        <f t="shared" si="5"/>
        <v>9204.8005373362084</v>
      </c>
      <c r="T57" s="20"/>
      <c r="U57" s="20">
        <f t="shared" si="6"/>
        <v>9204.8005373362084</v>
      </c>
      <c r="V57" s="20">
        <f>-M48</f>
        <v>-1875.3360920098346</v>
      </c>
      <c r="W57" s="20">
        <f t="shared" si="8"/>
        <v>7329.4644453263736</v>
      </c>
      <c r="X57" s="20">
        <f>-J48</f>
        <v>-241.54792986000001</v>
      </c>
      <c r="Y57" s="20">
        <f t="shared" si="10"/>
        <v>7087.9165154663733</v>
      </c>
      <c r="Z57" s="21"/>
      <c r="AA57" s="20">
        <f t="shared" si="11"/>
        <v>9204.8005373362084</v>
      </c>
      <c r="AB57" s="20">
        <f>-O48</f>
        <v>0</v>
      </c>
      <c r="AC57" s="20">
        <f t="shared" si="13"/>
        <v>0</v>
      </c>
      <c r="AD57" s="20">
        <f>-K48</f>
        <v>-8645.240341349785</v>
      </c>
      <c r="AE57" s="20">
        <f t="shared" si="15"/>
        <v>559.56019598642342</v>
      </c>
      <c r="AF57" s="20">
        <f t="shared" si="23"/>
        <v>-275887.04422662576</v>
      </c>
      <c r="AG57" s="20">
        <f t="shared" si="16"/>
        <v>-275327.48403063935</v>
      </c>
      <c r="AQ57" s="21">
        <f t="shared" si="21"/>
        <v>559.56019598642342</v>
      </c>
      <c r="AR57" s="21">
        <f t="shared" si="22"/>
        <v>559.56019598642342</v>
      </c>
    </row>
    <row r="58" spans="1:44" ht="15.75" customHeight="1" x14ac:dyDescent="0.35">
      <c r="A58" s="54">
        <f t="shared" si="0"/>
        <v>2026</v>
      </c>
      <c r="B58" s="54" t="str">
        <f t="shared" si="1"/>
        <v>Q1</v>
      </c>
      <c r="C58" s="99">
        <v>46054</v>
      </c>
      <c r="D58" s="92" t="e">
        <f t="array" aca="1" ref="D58" ca="1">7000*(53%*0.4+47%*0.85)+2800*0.9*_xludf.IFS(B58="Q1",1.3,B58="Q2",0.7,B58="Q3",0.8,B58="Q4",1.2)</f>
        <v>#NAME?</v>
      </c>
      <c r="E58" s="92">
        <v>2087.3268629933164</v>
      </c>
      <c r="F58" s="92">
        <f t="shared" ref="F58:F176" si="25">IF(MONTH(C58)=11,2000,0)</f>
        <v>0</v>
      </c>
      <c r="G58" s="92">
        <v>300</v>
      </c>
      <c r="H58" s="92"/>
      <c r="I58" s="92"/>
      <c r="J58" s="92" t="e">
        <f t="shared" ref="J58:J176" ca="1" si="26">(D58+E58)*6%</f>
        <v>#NAME?</v>
      </c>
      <c r="K58" s="92">
        <f t="shared" si="2"/>
        <v>8645.240341349785</v>
      </c>
      <c r="L58" s="92">
        <f>Financiamento!D67</f>
        <v>7887.7677922044149</v>
      </c>
      <c r="M58" s="92">
        <f>Financiamento!C67</f>
        <v>757.47254914537041</v>
      </c>
      <c r="N58" s="92"/>
      <c r="O58" s="92"/>
      <c r="Q58" s="92" t="e">
        <f t="shared" ref="Q58:Q176" ca="1" si="27">SUM(D58:E58)</f>
        <v>#NAME?</v>
      </c>
      <c r="R58" s="92">
        <f t="shared" ref="R58:R176" si="28">-SUM(F58:I58)</f>
        <v>-300</v>
      </c>
      <c r="S58" s="92" t="e">
        <f t="shared" ca="1" si="5"/>
        <v>#NAME?</v>
      </c>
      <c r="T58" s="92"/>
      <c r="U58" s="92" t="e">
        <f t="shared" ca="1" si="6"/>
        <v>#NAME?</v>
      </c>
      <c r="V58" s="92">
        <f t="shared" ref="V58:V176" si="29">-M58</f>
        <v>-757.47254914537041</v>
      </c>
      <c r="W58" s="92" t="e">
        <f t="shared" ca="1" si="8"/>
        <v>#NAME?</v>
      </c>
      <c r="X58" s="92" t="e">
        <f t="shared" ref="X58:X176" ca="1" si="30">-J58</f>
        <v>#NAME?</v>
      </c>
      <c r="Y58" s="92" t="e">
        <f t="shared" ca="1" si="10"/>
        <v>#NAME?</v>
      </c>
      <c r="Z58" s="21"/>
      <c r="AA58" s="92" t="e">
        <f t="shared" ca="1" si="11"/>
        <v>#NAME?</v>
      </c>
      <c r="AB58" s="92">
        <f t="shared" ref="AB58:AB176" si="31">-O58</f>
        <v>0</v>
      </c>
      <c r="AC58" s="92">
        <f t="shared" si="13"/>
        <v>0</v>
      </c>
      <c r="AD58" s="92">
        <f t="shared" ref="AD58:AD176" si="32">-K58</f>
        <v>-8645.240341349785</v>
      </c>
      <c r="AE58" s="92" t="e">
        <f t="shared" ca="1" si="15"/>
        <v>#NAME?</v>
      </c>
      <c r="AF58" s="92">
        <f t="shared" si="23"/>
        <v>-275327.48403063935</v>
      </c>
      <c r="AG58" s="92" t="e">
        <f t="shared" ca="1" si="16"/>
        <v>#NAME?</v>
      </c>
      <c r="AQ58" s="21" t="e">
        <f t="shared" ref="AQ58:AQ63" ca="1" si="33">AE58-E58+150+200</f>
        <v>#NAME?</v>
      </c>
      <c r="AR58" s="21" t="e">
        <f t="shared" ca="1" si="22"/>
        <v>#NAME?</v>
      </c>
    </row>
    <row r="59" spans="1:44" ht="15.75" customHeight="1" x14ac:dyDescent="0.35">
      <c r="A59" s="54">
        <f t="shared" si="0"/>
        <v>2026</v>
      </c>
      <c r="B59" s="54" t="str">
        <f t="shared" si="1"/>
        <v>Q1</v>
      </c>
      <c r="C59" s="99">
        <v>46082</v>
      </c>
      <c r="D59" s="92" t="e">
        <f t="array" aca="1" ref="D59" ca="1">7000*(53%*0.4+47%*0.85)+2800*0.9*_xludf.IFS(B59="Q1",1.3,B59="Q2",0.7,B59="Q3",0.8,B59="Q4",1.2)</f>
        <v>#NAME?</v>
      </c>
      <c r="E59" s="92">
        <v>2278.9626325930631</v>
      </c>
      <c r="F59" s="92">
        <f t="shared" si="25"/>
        <v>0</v>
      </c>
      <c r="G59" s="92">
        <v>300</v>
      </c>
      <c r="H59" s="92"/>
      <c r="I59" s="92"/>
      <c r="J59" s="92" t="e">
        <f t="shared" ca="1" si="26"/>
        <v>#NAME?</v>
      </c>
      <c r="K59" s="92">
        <f t="shared" si="2"/>
        <v>8645.240341349785</v>
      </c>
      <c r="L59" s="92">
        <f>Financiamento!D68</f>
        <v>8009.2394162043629</v>
      </c>
      <c r="M59" s="92">
        <f>Financiamento!C68</f>
        <v>636.00092514542234</v>
      </c>
      <c r="N59" s="92"/>
      <c r="O59" s="92"/>
      <c r="Q59" s="92" t="e">
        <f t="shared" ca="1" si="27"/>
        <v>#NAME?</v>
      </c>
      <c r="R59" s="92">
        <f t="shared" si="28"/>
        <v>-300</v>
      </c>
      <c r="S59" s="92" t="e">
        <f t="shared" ca="1" si="5"/>
        <v>#NAME?</v>
      </c>
      <c r="T59" s="92"/>
      <c r="U59" s="92" t="e">
        <f t="shared" ca="1" si="6"/>
        <v>#NAME?</v>
      </c>
      <c r="V59" s="92">
        <f t="shared" si="29"/>
        <v>-636.00092514542234</v>
      </c>
      <c r="W59" s="92" t="e">
        <f t="shared" ca="1" si="8"/>
        <v>#NAME?</v>
      </c>
      <c r="X59" s="92" t="e">
        <f t="shared" ca="1" si="30"/>
        <v>#NAME?</v>
      </c>
      <c r="Y59" s="92" t="e">
        <f t="shared" ca="1" si="10"/>
        <v>#NAME?</v>
      </c>
      <c r="Z59" s="21"/>
      <c r="AA59" s="92" t="e">
        <f t="shared" ca="1" si="11"/>
        <v>#NAME?</v>
      </c>
      <c r="AB59" s="92">
        <f t="shared" si="31"/>
        <v>0</v>
      </c>
      <c r="AC59" s="92">
        <f t="shared" si="13"/>
        <v>0</v>
      </c>
      <c r="AD59" s="92">
        <f t="shared" si="32"/>
        <v>-8645.240341349785</v>
      </c>
      <c r="AE59" s="92" t="e">
        <f t="shared" ca="1" si="15"/>
        <v>#NAME?</v>
      </c>
      <c r="AF59" s="92" t="e">
        <f t="shared" ca="1" si="23"/>
        <v>#NAME?</v>
      </c>
      <c r="AG59" s="92" t="e">
        <f t="shared" ca="1" si="16"/>
        <v>#NAME?</v>
      </c>
      <c r="AQ59" s="21" t="e">
        <f t="shared" ca="1" si="33"/>
        <v>#NAME?</v>
      </c>
      <c r="AR59" s="21" t="e">
        <f t="shared" ca="1" si="22"/>
        <v>#NAME?</v>
      </c>
    </row>
    <row r="60" spans="1:44" ht="15.75" customHeight="1" x14ac:dyDescent="0.35">
      <c r="A60" s="54">
        <f t="shared" si="0"/>
        <v>2026</v>
      </c>
      <c r="B60" s="54" t="str">
        <f t="shared" si="1"/>
        <v>Q2</v>
      </c>
      <c r="C60" s="99">
        <v>46113</v>
      </c>
      <c r="D60" s="92" t="e">
        <f t="array" aca="1" ref="D60" ca="1">7000*(53%*0.4+47%*0.85)+2800*0.9*_xludf.IFS(B60="Q1",1.3,B60="Q2",0.7,B60="Q3",0.8,B60="Q4",1.2)</f>
        <v>#NAME?</v>
      </c>
      <c r="E60" s="92">
        <v>2413.821608493748</v>
      </c>
      <c r="F60" s="92">
        <f t="shared" si="25"/>
        <v>0</v>
      </c>
      <c r="G60" s="92">
        <v>300</v>
      </c>
      <c r="H60" s="92"/>
      <c r="I60" s="92"/>
      <c r="J60" s="92" t="e">
        <f t="shared" ca="1" si="26"/>
        <v>#NAME?</v>
      </c>
      <c r="K60" s="92">
        <f t="shared" si="2"/>
        <v>8645.240341349785</v>
      </c>
      <c r="L60" s="92">
        <f>Financiamento!D69</f>
        <v>8132.5817032139093</v>
      </c>
      <c r="M60" s="92">
        <f>Financiamento!C69</f>
        <v>512.65863813587521</v>
      </c>
      <c r="N60" s="92"/>
      <c r="O60" s="92"/>
      <c r="Q60" s="92" t="e">
        <f t="shared" ca="1" si="27"/>
        <v>#NAME?</v>
      </c>
      <c r="R60" s="92">
        <f t="shared" si="28"/>
        <v>-300</v>
      </c>
      <c r="S60" s="92" t="e">
        <f t="shared" ca="1" si="5"/>
        <v>#NAME?</v>
      </c>
      <c r="T60" s="92"/>
      <c r="U60" s="92" t="e">
        <f t="shared" ca="1" si="6"/>
        <v>#NAME?</v>
      </c>
      <c r="V60" s="92">
        <f t="shared" si="29"/>
        <v>-512.65863813587521</v>
      </c>
      <c r="W60" s="92" t="e">
        <f t="shared" ca="1" si="8"/>
        <v>#NAME?</v>
      </c>
      <c r="X60" s="92" t="e">
        <f t="shared" ca="1" si="30"/>
        <v>#NAME?</v>
      </c>
      <c r="Y60" s="92" t="e">
        <f t="shared" ca="1" si="10"/>
        <v>#NAME?</v>
      </c>
      <c r="Z60" s="21"/>
      <c r="AA60" s="92" t="e">
        <f t="shared" ca="1" si="11"/>
        <v>#NAME?</v>
      </c>
      <c r="AB60" s="92">
        <f t="shared" si="31"/>
        <v>0</v>
      </c>
      <c r="AC60" s="92">
        <f t="shared" si="13"/>
        <v>0</v>
      </c>
      <c r="AD60" s="92">
        <f t="shared" si="32"/>
        <v>-8645.240341349785</v>
      </c>
      <c r="AE60" s="92" t="e">
        <f t="shared" ca="1" si="15"/>
        <v>#NAME?</v>
      </c>
      <c r="AF60" s="92" t="e">
        <f t="shared" ca="1" si="23"/>
        <v>#NAME?</v>
      </c>
      <c r="AG60" s="92" t="e">
        <f t="shared" ca="1" si="16"/>
        <v>#NAME?</v>
      </c>
      <c r="AQ60" s="21" t="e">
        <f t="shared" ca="1" si="33"/>
        <v>#NAME?</v>
      </c>
      <c r="AR60" s="21" t="e">
        <f t="shared" ca="1" si="22"/>
        <v>#NAME?</v>
      </c>
    </row>
    <row r="61" spans="1:44" ht="15.75" customHeight="1" x14ac:dyDescent="0.35">
      <c r="A61" s="54">
        <f t="shared" si="0"/>
        <v>2026</v>
      </c>
      <c r="B61" s="54" t="str">
        <f t="shared" si="1"/>
        <v>Q2</v>
      </c>
      <c r="C61" s="99">
        <v>46143</v>
      </c>
      <c r="D61" s="92" t="e">
        <f t="array" aca="1" ref="D61" ca="1">7000*(53%*0.4+47%*0.85)+2800*0.9*_xludf.IFS(B61="Q1",1.3,B61="Q2",0.7,B61="Q3",0.8,B61="Q4",1.2)</f>
        <v>#NAME?</v>
      </c>
      <c r="E61" s="92">
        <v>2325.7396088049231</v>
      </c>
      <c r="F61" s="92">
        <f t="shared" si="25"/>
        <v>0</v>
      </c>
      <c r="G61" s="92">
        <v>300</v>
      </c>
      <c r="H61" s="92"/>
      <c r="I61" s="92"/>
      <c r="J61" s="92" t="e">
        <f t="shared" ca="1" si="26"/>
        <v>#NAME?</v>
      </c>
      <c r="K61" s="92">
        <f t="shared" si="2"/>
        <v>8645.240341349785</v>
      </c>
      <c r="L61" s="92">
        <f>Financiamento!D70</f>
        <v>8257.8234614434041</v>
      </c>
      <c r="M61" s="92">
        <f>Financiamento!C70</f>
        <v>387.41687990638098</v>
      </c>
      <c r="N61" s="92"/>
      <c r="O61" s="92"/>
      <c r="Q61" s="92" t="e">
        <f t="shared" ca="1" si="27"/>
        <v>#NAME?</v>
      </c>
      <c r="R61" s="92">
        <f t="shared" si="28"/>
        <v>-300</v>
      </c>
      <c r="S61" s="92" t="e">
        <f t="shared" ca="1" si="5"/>
        <v>#NAME?</v>
      </c>
      <c r="T61" s="92"/>
      <c r="U61" s="92" t="e">
        <f t="shared" ca="1" si="6"/>
        <v>#NAME?</v>
      </c>
      <c r="V61" s="92">
        <f t="shared" si="29"/>
        <v>-387.41687990638098</v>
      </c>
      <c r="W61" s="92" t="e">
        <f t="shared" ca="1" si="8"/>
        <v>#NAME?</v>
      </c>
      <c r="X61" s="92" t="e">
        <f t="shared" ca="1" si="30"/>
        <v>#NAME?</v>
      </c>
      <c r="Y61" s="92" t="e">
        <f t="shared" ca="1" si="10"/>
        <v>#NAME?</v>
      </c>
      <c r="Z61" s="21"/>
      <c r="AA61" s="92" t="e">
        <f t="shared" ca="1" si="11"/>
        <v>#NAME?</v>
      </c>
      <c r="AB61" s="92">
        <f t="shared" si="31"/>
        <v>0</v>
      </c>
      <c r="AC61" s="92">
        <f t="shared" si="13"/>
        <v>0</v>
      </c>
      <c r="AD61" s="92">
        <f t="shared" si="32"/>
        <v>-8645.240341349785</v>
      </c>
      <c r="AE61" s="92" t="e">
        <f t="shared" ca="1" si="15"/>
        <v>#NAME?</v>
      </c>
      <c r="AF61" s="92" t="e">
        <f t="shared" ca="1" si="23"/>
        <v>#NAME?</v>
      </c>
      <c r="AG61" s="92" t="e">
        <f t="shared" ca="1" si="16"/>
        <v>#NAME?</v>
      </c>
      <c r="AQ61" s="21" t="e">
        <f t="shared" ca="1" si="33"/>
        <v>#NAME?</v>
      </c>
      <c r="AR61" s="21" t="e">
        <f t="shared" ca="1" si="22"/>
        <v>#NAME?</v>
      </c>
    </row>
    <row r="62" spans="1:44" ht="15.75" customHeight="1" x14ac:dyDescent="0.35">
      <c r="A62" s="54">
        <f t="shared" si="0"/>
        <v>2026</v>
      </c>
      <c r="B62" s="54" t="str">
        <f t="shared" si="1"/>
        <v>Q2</v>
      </c>
      <c r="C62" s="99">
        <v>46174</v>
      </c>
      <c r="D62" s="92" t="e">
        <f t="array" aca="1" ref="D62" ca="1">7000*(53%*0.4+47%*0.85)+2800*0.9*_xludf.IFS(B62="Q1",1.3,B62="Q2",0.7,B62="Q3",0.8,B62="Q4",1.2)</f>
        <v>#NAME?</v>
      </c>
      <c r="E62" s="92">
        <v>2451.3033104889919</v>
      </c>
      <c r="F62" s="92">
        <f t="shared" si="25"/>
        <v>0</v>
      </c>
      <c r="G62" s="92">
        <v>300</v>
      </c>
      <c r="H62" s="92"/>
      <c r="I62" s="92"/>
      <c r="J62" s="92" t="e">
        <f t="shared" ca="1" si="26"/>
        <v>#NAME?</v>
      </c>
      <c r="K62" s="92">
        <f t="shared" si="2"/>
        <v>8645.240341349785</v>
      </c>
      <c r="L62" s="92">
        <f>Financiamento!D71</f>
        <v>8384.993942749632</v>
      </c>
      <c r="M62" s="92">
        <f>Financiamento!C71</f>
        <v>260.24639860015253</v>
      </c>
      <c r="N62" s="92"/>
      <c r="O62" s="92"/>
      <c r="Q62" s="92" t="e">
        <f t="shared" ca="1" si="27"/>
        <v>#NAME?</v>
      </c>
      <c r="R62" s="92">
        <f t="shared" si="28"/>
        <v>-300</v>
      </c>
      <c r="S62" s="92" t="e">
        <f t="shared" ca="1" si="5"/>
        <v>#NAME?</v>
      </c>
      <c r="T62" s="92"/>
      <c r="U62" s="92" t="e">
        <f t="shared" ca="1" si="6"/>
        <v>#NAME?</v>
      </c>
      <c r="V62" s="92">
        <f t="shared" si="29"/>
        <v>-260.24639860015253</v>
      </c>
      <c r="W62" s="92" t="e">
        <f t="shared" ca="1" si="8"/>
        <v>#NAME?</v>
      </c>
      <c r="X62" s="92" t="e">
        <f t="shared" ca="1" si="30"/>
        <v>#NAME?</v>
      </c>
      <c r="Y62" s="92" t="e">
        <f t="shared" ca="1" si="10"/>
        <v>#NAME?</v>
      </c>
      <c r="Z62" s="21"/>
      <c r="AA62" s="92" t="e">
        <f t="shared" ca="1" si="11"/>
        <v>#NAME?</v>
      </c>
      <c r="AB62" s="92">
        <f t="shared" si="31"/>
        <v>0</v>
      </c>
      <c r="AC62" s="92">
        <f t="shared" si="13"/>
        <v>0</v>
      </c>
      <c r="AD62" s="92">
        <f t="shared" si="32"/>
        <v>-8645.240341349785</v>
      </c>
      <c r="AE62" s="92" t="e">
        <f t="shared" ca="1" si="15"/>
        <v>#NAME?</v>
      </c>
      <c r="AF62" s="92" t="e">
        <f t="shared" ca="1" si="23"/>
        <v>#NAME?</v>
      </c>
      <c r="AG62" s="92" t="e">
        <f t="shared" ca="1" si="16"/>
        <v>#NAME?</v>
      </c>
      <c r="AQ62" s="21" t="e">
        <f t="shared" ca="1" si="33"/>
        <v>#NAME?</v>
      </c>
      <c r="AR62" s="21" t="e">
        <f t="shared" ca="1" si="22"/>
        <v>#NAME?</v>
      </c>
    </row>
    <row r="63" spans="1:44" ht="15.75" customHeight="1" x14ac:dyDescent="0.35">
      <c r="A63" s="54">
        <f t="shared" si="0"/>
        <v>2026</v>
      </c>
      <c r="B63" s="54" t="str">
        <f t="shared" si="1"/>
        <v>Q3</v>
      </c>
      <c r="C63" s="99">
        <v>46204</v>
      </c>
      <c r="D63" s="92" t="e">
        <f t="array" aca="1" ref="D63" ca="1">7000*(53%*0.4+47%*0.85)+2800*0.9*_xludf.IFS(B63="Q1",1.3,B63="Q2",0.7,B63="Q3",0.8,B63="Q4",1.2)</f>
        <v>#NAME?</v>
      </c>
      <c r="E63" s="92">
        <v>2258.2725452134828</v>
      </c>
      <c r="F63" s="92">
        <f t="shared" si="25"/>
        <v>0</v>
      </c>
      <c r="G63" s="92">
        <v>300</v>
      </c>
      <c r="H63" s="92"/>
      <c r="I63" s="92"/>
      <c r="J63" s="92" t="e">
        <f t="shared" ca="1" si="26"/>
        <v>#NAME?</v>
      </c>
      <c r="K63" s="92">
        <f t="shared" si="2"/>
        <v>8645.240341349785</v>
      </c>
      <c r="L63" s="92">
        <f>Financiamento!D72</f>
        <v>8514.1228494679763</v>
      </c>
      <c r="M63" s="92">
        <f>Financiamento!C72</f>
        <v>131.11749188180821</v>
      </c>
      <c r="N63" s="92"/>
      <c r="O63" s="92"/>
      <c r="Q63" s="92" t="e">
        <f t="shared" ca="1" si="27"/>
        <v>#NAME?</v>
      </c>
      <c r="R63" s="92">
        <f t="shared" si="28"/>
        <v>-300</v>
      </c>
      <c r="S63" s="92" t="e">
        <f t="shared" ca="1" si="5"/>
        <v>#NAME?</v>
      </c>
      <c r="T63" s="92"/>
      <c r="U63" s="92" t="e">
        <f t="shared" ca="1" si="6"/>
        <v>#NAME?</v>
      </c>
      <c r="V63" s="92">
        <f t="shared" si="29"/>
        <v>-131.11749188180821</v>
      </c>
      <c r="W63" s="92" t="e">
        <f t="shared" ca="1" si="8"/>
        <v>#NAME?</v>
      </c>
      <c r="X63" s="92" t="e">
        <f t="shared" ca="1" si="30"/>
        <v>#NAME?</v>
      </c>
      <c r="Y63" s="92" t="e">
        <f t="shared" ca="1" si="10"/>
        <v>#NAME?</v>
      </c>
      <c r="Z63" s="21"/>
      <c r="AA63" s="92" t="e">
        <f t="shared" ca="1" si="11"/>
        <v>#NAME?</v>
      </c>
      <c r="AB63" s="92">
        <f t="shared" si="31"/>
        <v>0</v>
      </c>
      <c r="AC63" s="92">
        <f t="shared" si="13"/>
        <v>0</v>
      </c>
      <c r="AD63" s="92">
        <f t="shared" si="32"/>
        <v>-8645.240341349785</v>
      </c>
      <c r="AE63" s="92" t="e">
        <f t="shared" ca="1" si="15"/>
        <v>#NAME?</v>
      </c>
      <c r="AF63" s="92" t="e">
        <f t="shared" ca="1" si="23"/>
        <v>#NAME?</v>
      </c>
      <c r="AG63" s="92" t="e">
        <f t="shared" ca="1" si="16"/>
        <v>#NAME?</v>
      </c>
      <c r="AQ63" s="21" t="e">
        <f t="shared" ca="1" si="33"/>
        <v>#NAME?</v>
      </c>
      <c r="AR63" s="21" t="e">
        <f t="shared" ca="1" si="22"/>
        <v>#NAME?</v>
      </c>
    </row>
    <row r="64" spans="1:44" ht="15.75" customHeight="1" x14ac:dyDescent="0.35">
      <c r="A64" s="54">
        <f t="shared" si="0"/>
        <v>2026</v>
      </c>
      <c r="B64" s="54" t="str">
        <f t="shared" si="1"/>
        <v>Q3</v>
      </c>
      <c r="C64" s="99">
        <v>46235</v>
      </c>
      <c r="D64" s="92" t="e">
        <f t="array" aca="1" ref="D64" ca="1">7000*(53%*0.4+47%*0.85)+2800*0.9*_xludf.IFS(B64="Q1",1.3,B64="Q2",0.7,B64="Q3",0.8,B64="Q4",1.2)</f>
        <v>#NAME?</v>
      </c>
      <c r="E64" s="92">
        <v>2046.5009289403513</v>
      </c>
      <c r="F64" s="92">
        <f t="shared" si="25"/>
        <v>0</v>
      </c>
      <c r="G64" s="92">
        <v>300</v>
      </c>
      <c r="H64" s="92"/>
      <c r="I64" s="92"/>
      <c r="J64" s="92" t="e">
        <f t="shared" ca="1" si="26"/>
        <v>#NAME?</v>
      </c>
      <c r="K64" s="92">
        <f t="shared" si="2"/>
        <v>0</v>
      </c>
      <c r="L64" s="92">
        <f>Financiamento!D73</f>
        <v>0</v>
      </c>
      <c r="M64" s="92">
        <f>Financiamento!C73</f>
        <v>0</v>
      </c>
      <c r="N64" s="92"/>
      <c r="O64" s="92"/>
      <c r="Q64" s="92" t="e">
        <f t="shared" ca="1" si="27"/>
        <v>#NAME?</v>
      </c>
      <c r="R64" s="92">
        <f t="shared" si="28"/>
        <v>-300</v>
      </c>
      <c r="S64" s="92" t="e">
        <f t="shared" ca="1" si="5"/>
        <v>#NAME?</v>
      </c>
      <c r="T64" s="92"/>
      <c r="U64" s="92" t="e">
        <f t="shared" ca="1" si="6"/>
        <v>#NAME?</v>
      </c>
      <c r="V64" s="92">
        <f t="shared" si="29"/>
        <v>0</v>
      </c>
      <c r="W64" s="92" t="e">
        <f t="shared" ca="1" si="8"/>
        <v>#NAME?</v>
      </c>
      <c r="X64" s="92" t="e">
        <f t="shared" ca="1" si="30"/>
        <v>#NAME?</v>
      </c>
      <c r="Y64" s="92" t="e">
        <f t="shared" ca="1" si="10"/>
        <v>#NAME?</v>
      </c>
      <c r="Z64" s="21"/>
      <c r="AA64" s="92" t="e">
        <f t="shared" ca="1" si="11"/>
        <v>#NAME?</v>
      </c>
      <c r="AB64" s="92">
        <f t="shared" si="31"/>
        <v>0</v>
      </c>
      <c r="AC64" s="92">
        <f t="shared" si="13"/>
        <v>0</v>
      </c>
      <c r="AD64" s="92">
        <f t="shared" si="32"/>
        <v>0</v>
      </c>
      <c r="AE64" s="92" t="e">
        <f t="shared" ca="1" si="15"/>
        <v>#NAME?</v>
      </c>
      <c r="AF64" s="92" t="e">
        <f t="shared" ca="1" si="23"/>
        <v>#NAME?</v>
      </c>
      <c r="AG64" s="92" t="e">
        <f t="shared" ca="1" si="16"/>
        <v>#NAME?</v>
      </c>
      <c r="AQ64" s="21" t="e">
        <f t="shared" ref="AQ64:AQ176" ca="1" si="34">(AE64-E64+150+200)</f>
        <v>#NAME?</v>
      </c>
      <c r="AR64" s="12" t="e">
        <f t="shared" ref="AR64:AR176" ca="1" si="35">AQ64*1.4</f>
        <v>#NAME?</v>
      </c>
    </row>
    <row r="65" spans="1:44" ht="15.75" customHeight="1" x14ac:dyDescent="0.35">
      <c r="A65" s="54">
        <f t="shared" si="0"/>
        <v>2026</v>
      </c>
      <c r="B65" s="54" t="str">
        <f t="shared" si="1"/>
        <v>Q3</v>
      </c>
      <c r="C65" s="99">
        <v>46266</v>
      </c>
      <c r="D65" s="92" t="e">
        <f t="array" aca="1" ref="D65" ca="1">7000*(53%*0.4+47%*0.85)+2800*0.9*_xludf.IFS(B65="Q1",1.3,B65="Q2",0.7,B65="Q3",0.8,B65="Q4",1.2)</f>
        <v>#NAME?</v>
      </c>
      <c r="E65" s="92">
        <v>1960.2930143512888</v>
      </c>
      <c r="F65" s="92">
        <f t="shared" si="25"/>
        <v>0</v>
      </c>
      <c r="G65" s="92">
        <v>300</v>
      </c>
      <c r="H65" s="92"/>
      <c r="I65" s="92"/>
      <c r="J65" s="92" t="e">
        <f t="shared" ca="1" si="26"/>
        <v>#NAME?</v>
      </c>
      <c r="K65" s="92">
        <f t="shared" si="2"/>
        <v>0</v>
      </c>
      <c r="L65" s="92">
        <f>Financiamento!D74</f>
        <v>0</v>
      </c>
      <c r="M65" s="92">
        <f>Financiamento!C74</f>
        <v>0</v>
      </c>
      <c r="N65" s="92"/>
      <c r="O65" s="92"/>
      <c r="Q65" s="92" t="e">
        <f t="shared" ca="1" si="27"/>
        <v>#NAME?</v>
      </c>
      <c r="R65" s="92">
        <f t="shared" si="28"/>
        <v>-300</v>
      </c>
      <c r="S65" s="92" t="e">
        <f t="shared" ca="1" si="5"/>
        <v>#NAME?</v>
      </c>
      <c r="T65" s="92"/>
      <c r="U65" s="92" t="e">
        <f t="shared" ca="1" si="6"/>
        <v>#NAME?</v>
      </c>
      <c r="V65" s="92">
        <f t="shared" si="29"/>
        <v>0</v>
      </c>
      <c r="W65" s="92" t="e">
        <f t="shared" ca="1" si="8"/>
        <v>#NAME?</v>
      </c>
      <c r="X65" s="92" t="e">
        <f t="shared" ca="1" si="30"/>
        <v>#NAME?</v>
      </c>
      <c r="Y65" s="92" t="e">
        <f t="shared" ca="1" si="10"/>
        <v>#NAME?</v>
      </c>
      <c r="Z65" s="21"/>
      <c r="AA65" s="92" t="e">
        <f t="shared" ca="1" si="11"/>
        <v>#NAME?</v>
      </c>
      <c r="AB65" s="92">
        <f t="shared" si="31"/>
        <v>0</v>
      </c>
      <c r="AC65" s="92">
        <f t="shared" si="13"/>
        <v>0</v>
      </c>
      <c r="AD65" s="92">
        <f t="shared" si="32"/>
        <v>0</v>
      </c>
      <c r="AE65" s="92" t="e">
        <f t="shared" ca="1" si="15"/>
        <v>#NAME?</v>
      </c>
      <c r="AF65" s="92" t="e">
        <f t="shared" ca="1" si="23"/>
        <v>#NAME?</v>
      </c>
      <c r="AG65" s="92" t="e">
        <f t="shared" ca="1" si="16"/>
        <v>#NAME?</v>
      </c>
      <c r="AQ65" s="21" t="e">
        <f t="shared" ca="1" si="34"/>
        <v>#NAME?</v>
      </c>
      <c r="AR65" s="12" t="e">
        <f t="shared" ca="1" si="35"/>
        <v>#NAME?</v>
      </c>
    </row>
    <row r="66" spans="1:44" ht="15.75" customHeight="1" x14ac:dyDescent="0.35">
      <c r="A66" s="54">
        <f t="shared" si="0"/>
        <v>2026</v>
      </c>
      <c r="B66" s="54" t="str">
        <f t="shared" si="1"/>
        <v>Q4</v>
      </c>
      <c r="C66" s="99">
        <v>46296</v>
      </c>
      <c r="D66" s="92" t="e">
        <f t="array" aca="1" ref="D66" ca="1">7000*(53%*0.4+47%*0.85)+2800*0.9*_xludf.IFS(B66="Q1",1.3,B66="Q2",0.7,B66="Q3",0.8,B66="Q4",1.2)</f>
        <v>#NAME?</v>
      </c>
      <c r="E66" s="92">
        <v>2093.3530564344069</v>
      </c>
      <c r="F66" s="92">
        <f t="shared" si="25"/>
        <v>0</v>
      </c>
      <c r="G66" s="92">
        <v>300</v>
      </c>
      <c r="H66" s="92"/>
      <c r="I66" s="92"/>
      <c r="J66" s="92" t="e">
        <f t="shared" ca="1" si="26"/>
        <v>#NAME?</v>
      </c>
      <c r="K66" s="92">
        <f t="shared" si="2"/>
        <v>0</v>
      </c>
      <c r="L66" s="92">
        <f>Financiamento!D75</f>
        <v>0</v>
      </c>
      <c r="M66" s="92">
        <f>Financiamento!C75</f>
        <v>0</v>
      </c>
      <c r="N66" s="92"/>
      <c r="O66" s="92"/>
      <c r="Q66" s="92" t="e">
        <f t="shared" ca="1" si="27"/>
        <v>#NAME?</v>
      </c>
      <c r="R66" s="92">
        <f t="shared" si="28"/>
        <v>-300</v>
      </c>
      <c r="S66" s="92" t="e">
        <f t="shared" ca="1" si="5"/>
        <v>#NAME?</v>
      </c>
      <c r="T66" s="92"/>
      <c r="U66" s="92" t="e">
        <f t="shared" ca="1" si="6"/>
        <v>#NAME?</v>
      </c>
      <c r="V66" s="92">
        <f t="shared" si="29"/>
        <v>0</v>
      </c>
      <c r="W66" s="92" t="e">
        <f t="shared" ca="1" si="8"/>
        <v>#NAME?</v>
      </c>
      <c r="X66" s="92" t="e">
        <f t="shared" ca="1" si="30"/>
        <v>#NAME?</v>
      </c>
      <c r="Y66" s="92" t="e">
        <f t="shared" ca="1" si="10"/>
        <v>#NAME?</v>
      </c>
      <c r="Z66" s="21"/>
      <c r="AA66" s="92" t="e">
        <f t="shared" ca="1" si="11"/>
        <v>#NAME?</v>
      </c>
      <c r="AB66" s="92">
        <f t="shared" si="31"/>
        <v>0</v>
      </c>
      <c r="AC66" s="92">
        <f t="shared" si="13"/>
        <v>0</v>
      </c>
      <c r="AD66" s="92">
        <f t="shared" si="32"/>
        <v>0</v>
      </c>
      <c r="AE66" s="92" t="e">
        <f t="shared" ca="1" si="15"/>
        <v>#NAME?</v>
      </c>
      <c r="AF66" s="92" t="e">
        <f t="shared" ca="1" si="23"/>
        <v>#NAME?</v>
      </c>
      <c r="AG66" s="92" t="e">
        <f t="shared" ca="1" si="16"/>
        <v>#NAME?</v>
      </c>
      <c r="AQ66" s="21" t="e">
        <f t="shared" ca="1" si="34"/>
        <v>#NAME?</v>
      </c>
      <c r="AR66" s="12" t="e">
        <f t="shared" ca="1" si="35"/>
        <v>#NAME?</v>
      </c>
    </row>
    <row r="67" spans="1:44" ht="15.75" customHeight="1" x14ac:dyDescent="0.35">
      <c r="A67" s="54">
        <f t="shared" si="0"/>
        <v>2026</v>
      </c>
      <c r="B67" s="54" t="str">
        <f t="shared" si="1"/>
        <v>Q4</v>
      </c>
      <c r="C67" s="99">
        <v>46327</v>
      </c>
      <c r="D67" s="92" t="e">
        <f t="array" aca="1" ref="D67" ca="1">7000*(53%*0.4+47%*0.85)+2800*0.9*_xludf.IFS(B67="Q1",1.3,B67="Q2",0.7,B67="Q3",0.8,B67="Q4",1.2)</f>
        <v>#NAME?</v>
      </c>
      <c r="E67" s="92">
        <v>2258.2725452134828</v>
      </c>
      <c r="F67" s="92">
        <f t="shared" si="25"/>
        <v>2000</v>
      </c>
      <c r="G67" s="92">
        <v>300</v>
      </c>
      <c r="H67" s="92"/>
      <c r="I67" s="92"/>
      <c r="J67" s="92" t="e">
        <f t="shared" ca="1" si="26"/>
        <v>#NAME?</v>
      </c>
      <c r="K67" s="92">
        <f t="shared" si="2"/>
        <v>0</v>
      </c>
      <c r="L67" s="92">
        <f>Financiamento!D76</f>
        <v>0</v>
      </c>
      <c r="M67" s="92">
        <f>Financiamento!C76</f>
        <v>0</v>
      </c>
      <c r="N67" s="92"/>
      <c r="O67" s="92"/>
      <c r="Q67" s="92" t="e">
        <f t="shared" ca="1" si="27"/>
        <v>#NAME?</v>
      </c>
      <c r="R67" s="92">
        <f t="shared" si="28"/>
        <v>-2300</v>
      </c>
      <c r="S67" s="92" t="e">
        <f t="shared" ca="1" si="5"/>
        <v>#NAME?</v>
      </c>
      <c r="T67" s="92"/>
      <c r="U67" s="92" t="e">
        <f t="shared" ca="1" si="6"/>
        <v>#NAME?</v>
      </c>
      <c r="V67" s="92">
        <f t="shared" si="29"/>
        <v>0</v>
      </c>
      <c r="W67" s="92" t="e">
        <f t="shared" ca="1" si="8"/>
        <v>#NAME?</v>
      </c>
      <c r="X67" s="92" t="e">
        <f t="shared" ca="1" si="30"/>
        <v>#NAME?</v>
      </c>
      <c r="Y67" s="92" t="e">
        <f t="shared" ca="1" si="10"/>
        <v>#NAME?</v>
      </c>
      <c r="Z67" s="21"/>
      <c r="AA67" s="92" t="e">
        <f t="shared" ca="1" si="11"/>
        <v>#NAME?</v>
      </c>
      <c r="AB67" s="92">
        <f t="shared" si="31"/>
        <v>0</v>
      </c>
      <c r="AC67" s="92">
        <f t="shared" si="13"/>
        <v>0</v>
      </c>
      <c r="AD67" s="92">
        <f t="shared" si="32"/>
        <v>0</v>
      </c>
      <c r="AE67" s="92" t="e">
        <f t="shared" ca="1" si="15"/>
        <v>#NAME?</v>
      </c>
      <c r="AF67" s="92" t="e">
        <f t="shared" ca="1" si="23"/>
        <v>#NAME?</v>
      </c>
      <c r="AG67" s="92" t="e">
        <f t="shared" ca="1" si="16"/>
        <v>#NAME?</v>
      </c>
      <c r="AQ67" s="21" t="e">
        <f t="shared" ca="1" si="34"/>
        <v>#NAME?</v>
      </c>
      <c r="AR67" s="12" t="e">
        <f t="shared" ca="1" si="35"/>
        <v>#NAME?</v>
      </c>
    </row>
    <row r="68" spans="1:44" ht="15.75" customHeight="1" x14ac:dyDescent="0.35">
      <c r="A68" s="54">
        <f t="shared" si="0"/>
        <v>2026</v>
      </c>
      <c r="B68" s="54" t="str">
        <f t="shared" si="1"/>
        <v>Q4</v>
      </c>
      <c r="C68" s="99">
        <v>46357</v>
      </c>
      <c r="D68" s="92" t="e">
        <f t="array" aca="1" ref="D68" ca="1">7000*(53%*0.4+47%*0.85)+2800*0.9*_xludf.IFS(B68="Q1",1.3,B68="Q2",0.7,B68="Q3",0.8,B68="Q4",1.2)</f>
        <v>#NAME?</v>
      </c>
      <c r="E68" s="92">
        <v>2136.4570137289384</v>
      </c>
      <c r="F68" s="92">
        <f t="shared" si="25"/>
        <v>0</v>
      </c>
      <c r="G68" s="92">
        <v>300</v>
      </c>
      <c r="H68" s="92"/>
      <c r="I68" s="92"/>
      <c r="J68" s="92" t="e">
        <f t="shared" ca="1" si="26"/>
        <v>#NAME?</v>
      </c>
      <c r="K68" s="92">
        <f t="shared" si="2"/>
        <v>0</v>
      </c>
      <c r="L68" s="92">
        <f>Financiamento!D77</f>
        <v>0</v>
      </c>
      <c r="M68" s="92">
        <f>Financiamento!C77</f>
        <v>0</v>
      </c>
      <c r="N68" s="92"/>
      <c r="O68" s="92"/>
      <c r="Q68" s="92" t="e">
        <f t="shared" ca="1" si="27"/>
        <v>#NAME?</v>
      </c>
      <c r="R68" s="92">
        <f t="shared" si="28"/>
        <v>-300</v>
      </c>
      <c r="S68" s="92" t="e">
        <f t="shared" ca="1" si="5"/>
        <v>#NAME?</v>
      </c>
      <c r="T68" s="92"/>
      <c r="U68" s="92" t="e">
        <f t="shared" ca="1" si="6"/>
        <v>#NAME?</v>
      </c>
      <c r="V68" s="92">
        <f t="shared" si="29"/>
        <v>0</v>
      </c>
      <c r="W68" s="92" t="e">
        <f t="shared" ca="1" si="8"/>
        <v>#NAME?</v>
      </c>
      <c r="X68" s="92" t="e">
        <f t="shared" ca="1" si="30"/>
        <v>#NAME?</v>
      </c>
      <c r="Y68" s="92" t="e">
        <f t="shared" ca="1" si="10"/>
        <v>#NAME?</v>
      </c>
      <c r="Z68" s="21"/>
      <c r="AA68" s="92" t="e">
        <f t="shared" ca="1" si="11"/>
        <v>#NAME?</v>
      </c>
      <c r="AB68" s="92">
        <f t="shared" si="31"/>
        <v>0</v>
      </c>
      <c r="AC68" s="92">
        <f t="shared" si="13"/>
        <v>0</v>
      </c>
      <c r="AD68" s="92">
        <f t="shared" si="32"/>
        <v>0</v>
      </c>
      <c r="AE68" s="92" t="e">
        <f t="shared" ca="1" si="15"/>
        <v>#NAME?</v>
      </c>
      <c r="AF68" s="92" t="e">
        <f t="shared" ca="1" si="23"/>
        <v>#NAME?</v>
      </c>
      <c r="AG68" s="92" t="e">
        <f t="shared" ca="1" si="16"/>
        <v>#NAME?</v>
      </c>
      <c r="AQ68" s="21" t="e">
        <f t="shared" ca="1" si="34"/>
        <v>#NAME?</v>
      </c>
      <c r="AR68" s="12" t="e">
        <f t="shared" ca="1" si="35"/>
        <v>#NAME?</v>
      </c>
    </row>
    <row r="69" spans="1:44" ht="15.75" customHeight="1" x14ac:dyDescent="0.35">
      <c r="A69" s="54">
        <f t="shared" si="0"/>
        <v>2027</v>
      </c>
      <c r="B69" s="54" t="str">
        <f t="shared" si="1"/>
        <v>Q1</v>
      </c>
      <c r="C69" s="99">
        <v>46388</v>
      </c>
      <c r="D69" s="92" t="e">
        <f t="array" aca="1" ref="D69" ca="1">7000*(53%*0.4+47%*0.85)+2800*0.9*_xludf.IFS(B69="Q1",1.3,B69="Q2",0.7,B69="Q3",0.8,B69="Q4",1.2)</f>
        <v>#NAME?</v>
      </c>
      <c r="E69" s="92">
        <v>2170.1905455246583</v>
      </c>
      <c r="F69" s="92">
        <f t="shared" si="25"/>
        <v>0</v>
      </c>
      <c r="G69" s="92">
        <v>300</v>
      </c>
      <c r="H69" s="92"/>
      <c r="I69" s="92"/>
      <c r="J69" s="92" t="e">
        <f t="shared" ca="1" si="26"/>
        <v>#NAME?</v>
      </c>
      <c r="K69" s="92">
        <f t="shared" si="2"/>
        <v>0</v>
      </c>
      <c r="L69" s="92">
        <f>Financiamento!D78</f>
        <v>0</v>
      </c>
      <c r="M69" s="92">
        <f>Financiamento!C78</f>
        <v>0</v>
      </c>
      <c r="N69" s="92"/>
      <c r="O69" s="92"/>
      <c r="Q69" s="92" t="e">
        <f t="shared" ca="1" si="27"/>
        <v>#NAME?</v>
      </c>
      <c r="R69" s="92">
        <f t="shared" si="28"/>
        <v>-300</v>
      </c>
      <c r="S69" s="92" t="e">
        <f t="shared" ca="1" si="5"/>
        <v>#NAME?</v>
      </c>
      <c r="T69" s="92"/>
      <c r="U69" s="92" t="e">
        <f t="shared" ca="1" si="6"/>
        <v>#NAME?</v>
      </c>
      <c r="V69" s="92">
        <f t="shared" si="29"/>
        <v>0</v>
      </c>
      <c r="W69" s="92" t="e">
        <f t="shared" ca="1" si="8"/>
        <v>#NAME?</v>
      </c>
      <c r="X69" s="92" t="e">
        <f t="shared" ca="1" si="30"/>
        <v>#NAME?</v>
      </c>
      <c r="Y69" s="92" t="e">
        <f t="shared" ca="1" si="10"/>
        <v>#NAME?</v>
      </c>
      <c r="Z69" s="21"/>
      <c r="AA69" s="92" t="e">
        <f t="shared" ca="1" si="11"/>
        <v>#NAME?</v>
      </c>
      <c r="AB69" s="92">
        <f t="shared" si="31"/>
        <v>0</v>
      </c>
      <c r="AC69" s="92">
        <f t="shared" si="13"/>
        <v>0</v>
      </c>
      <c r="AD69" s="92">
        <f t="shared" si="32"/>
        <v>0</v>
      </c>
      <c r="AE69" s="92" t="e">
        <f t="shared" ca="1" si="15"/>
        <v>#NAME?</v>
      </c>
      <c r="AF69" s="92" t="e">
        <f t="shared" ca="1" si="23"/>
        <v>#NAME?</v>
      </c>
      <c r="AG69" s="92" t="e">
        <f t="shared" ca="1" si="16"/>
        <v>#NAME?</v>
      </c>
      <c r="AQ69" s="21" t="e">
        <f t="shared" ca="1" si="34"/>
        <v>#NAME?</v>
      </c>
      <c r="AR69" s="12" t="e">
        <f t="shared" ca="1" si="35"/>
        <v>#NAME?</v>
      </c>
    </row>
    <row r="70" spans="1:44" ht="15.75" customHeight="1" x14ac:dyDescent="0.35">
      <c r="A70" s="54">
        <f t="shared" si="0"/>
        <v>2027</v>
      </c>
      <c r="B70" s="54" t="str">
        <f t="shared" si="1"/>
        <v>Q1</v>
      </c>
      <c r="C70" s="99">
        <v>46419</v>
      </c>
      <c r="D70" s="92" t="e">
        <f t="array" aca="1" ref="D70" ca="1">7000*(53%*0.4+47%*0.85)+2800*0.9*_xludf.IFS(B70="Q1",1.3,B70="Q2",0.7,B70="Q3",0.8,B70="Q4",1.2)</f>
        <v>#NAME?</v>
      </c>
      <c r="E70" s="92">
        <v>2082.108545835833</v>
      </c>
      <c r="F70" s="92">
        <f t="shared" si="25"/>
        <v>0</v>
      </c>
      <c r="G70" s="92">
        <v>300</v>
      </c>
      <c r="H70" s="92"/>
      <c r="I70" s="92"/>
      <c r="J70" s="92" t="e">
        <f t="shared" ca="1" si="26"/>
        <v>#NAME?</v>
      </c>
      <c r="K70" s="92">
        <f t="shared" si="2"/>
        <v>0</v>
      </c>
      <c r="L70" s="92">
        <f>Financiamento!D79</f>
        <v>0</v>
      </c>
      <c r="M70" s="92">
        <f>Financiamento!C79</f>
        <v>0</v>
      </c>
      <c r="N70" s="92"/>
      <c r="O70" s="92"/>
      <c r="Q70" s="92" t="e">
        <f t="shared" ca="1" si="27"/>
        <v>#NAME?</v>
      </c>
      <c r="R70" s="92">
        <f t="shared" si="28"/>
        <v>-300</v>
      </c>
      <c r="S70" s="92" t="e">
        <f t="shared" ca="1" si="5"/>
        <v>#NAME?</v>
      </c>
      <c r="T70" s="92"/>
      <c r="U70" s="92" t="e">
        <f t="shared" ca="1" si="6"/>
        <v>#NAME?</v>
      </c>
      <c r="V70" s="92">
        <f t="shared" si="29"/>
        <v>0</v>
      </c>
      <c r="W70" s="92" t="e">
        <f t="shared" ca="1" si="8"/>
        <v>#NAME?</v>
      </c>
      <c r="X70" s="92" t="e">
        <f t="shared" ca="1" si="30"/>
        <v>#NAME?</v>
      </c>
      <c r="Y70" s="92" t="e">
        <f t="shared" ca="1" si="10"/>
        <v>#NAME?</v>
      </c>
      <c r="Z70" s="21"/>
      <c r="AA70" s="92" t="e">
        <f t="shared" ca="1" si="11"/>
        <v>#NAME?</v>
      </c>
      <c r="AB70" s="92">
        <f t="shared" si="31"/>
        <v>0</v>
      </c>
      <c r="AC70" s="92">
        <f t="shared" si="13"/>
        <v>0</v>
      </c>
      <c r="AD70" s="92">
        <f t="shared" si="32"/>
        <v>0</v>
      </c>
      <c r="AE70" s="92" t="e">
        <f t="shared" ca="1" si="15"/>
        <v>#NAME?</v>
      </c>
      <c r="AF70" s="92" t="e">
        <f t="shared" ca="1" si="23"/>
        <v>#NAME?</v>
      </c>
      <c r="AG70" s="92" t="e">
        <f t="shared" ca="1" si="16"/>
        <v>#NAME?</v>
      </c>
      <c r="AQ70" s="21" t="e">
        <f t="shared" ca="1" si="34"/>
        <v>#NAME?</v>
      </c>
      <c r="AR70" s="12" t="e">
        <f t="shared" ca="1" si="35"/>
        <v>#NAME?</v>
      </c>
    </row>
    <row r="71" spans="1:44" ht="15.75" customHeight="1" x14ac:dyDescent="0.35">
      <c r="A71" s="54">
        <f t="shared" si="0"/>
        <v>2027</v>
      </c>
      <c r="B71" s="54" t="str">
        <f t="shared" si="1"/>
        <v>Q1</v>
      </c>
      <c r="C71" s="99">
        <v>46447</v>
      </c>
      <c r="D71" s="92" t="e">
        <f t="array" aca="1" ref="D71" ca="1">7000*(53%*0.4+47%*0.85)+2800*0.9*_xludf.IFS(B71="Q1",1.3,B71="Q2",0.7,B71="Q3",0.8,B71="Q4",1.2)</f>
        <v>#NAME?</v>
      </c>
      <c r="E71" s="92">
        <v>2273.2652260115806</v>
      </c>
      <c r="F71" s="92">
        <f t="shared" si="25"/>
        <v>0</v>
      </c>
      <c r="G71" s="92">
        <v>300</v>
      </c>
      <c r="H71" s="92"/>
      <c r="I71" s="92"/>
      <c r="J71" s="92" t="e">
        <f t="shared" ca="1" si="26"/>
        <v>#NAME?</v>
      </c>
      <c r="K71" s="92">
        <f t="shared" si="2"/>
        <v>0</v>
      </c>
      <c r="L71" s="92">
        <f>Financiamento!D80</f>
        <v>0</v>
      </c>
      <c r="M71" s="92">
        <f>Financiamento!C80</f>
        <v>0</v>
      </c>
      <c r="N71" s="92"/>
      <c r="O71" s="92"/>
      <c r="Q71" s="92" t="e">
        <f t="shared" ca="1" si="27"/>
        <v>#NAME?</v>
      </c>
      <c r="R71" s="92">
        <f t="shared" si="28"/>
        <v>-300</v>
      </c>
      <c r="S71" s="92" t="e">
        <f t="shared" ca="1" si="5"/>
        <v>#NAME?</v>
      </c>
      <c r="T71" s="92"/>
      <c r="U71" s="92" t="e">
        <f t="shared" ca="1" si="6"/>
        <v>#NAME?</v>
      </c>
      <c r="V71" s="92">
        <f t="shared" si="29"/>
        <v>0</v>
      </c>
      <c r="W71" s="92" t="e">
        <f t="shared" ca="1" si="8"/>
        <v>#NAME?</v>
      </c>
      <c r="X71" s="92" t="e">
        <f t="shared" ca="1" si="30"/>
        <v>#NAME?</v>
      </c>
      <c r="Y71" s="92" t="e">
        <f t="shared" ca="1" si="10"/>
        <v>#NAME?</v>
      </c>
      <c r="Z71" s="21"/>
      <c r="AA71" s="92" t="e">
        <f t="shared" ca="1" si="11"/>
        <v>#NAME?</v>
      </c>
      <c r="AB71" s="92">
        <f t="shared" si="31"/>
        <v>0</v>
      </c>
      <c r="AC71" s="92">
        <f t="shared" si="13"/>
        <v>0</v>
      </c>
      <c r="AD71" s="92">
        <f t="shared" si="32"/>
        <v>0</v>
      </c>
      <c r="AE71" s="92" t="e">
        <f t="shared" ca="1" si="15"/>
        <v>#NAME?</v>
      </c>
      <c r="AF71" s="92" t="e">
        <f t="shared" ca="1" si="23"/>
        <v>#NAME?</v>
      </c>
      <c r="AG71" s="92" t="e">
        <f t="shared" ca="1" si="16"/>
        <v>#NAME?</v>
      </c>
      <c r="AQ71" s="21" t="e">
        <f t="shared" ca="1" si="34"/>
        <v>#NAME?</v>
      </c>
      <c r="AR71" s="12" t="e">
        <f t="shared" ca="1" si="35"/>
        <v>#NAME?</v>
      </c>
    </row>
    <row r="72" spans="1:44" ht="15.75" customHeight="1" x14ac:dyDescent="0.35">
      <c r="A72" s="54">
        <f t="shared" si="0"/>
        <v>2027</v>
      </c>
      <c r="B72" s="54" t="str">
        <f t="shared" si="1"/>
        <v>Q2</v>
      </c>
      <c r="C72" s="99">
        <v>46478</v>
      </c>
      <c r="D72" s="92" t="e">
        <f t="array" aca="1" ref="D72" ca="1">7000*(53%*0.4+47%*0.85)+2800*0.9*_xludf.IFS(B72="Q1",1.3,B72="Q2",0.7,B72="Q3",0.8,B72="Q4",1.2)</f>
        <v>#NAME?</v>
      </c>
      <c r="E72" s="92">
        <v>2407.7719302769715</v>
      </c>
      <c r="F72" s="92">
        <f t="shared" si="25"/>
        <v>0</v>
      </c>
      <c r="G72" s="92">
        <v>300</v>
      </c>
      <c r="H72" s="92"/>
      <c r="I72" s="92"/>
      <c r="J72" s="92" t="e">
        <f t="shared" ca="1" si="26"/>
        <v>#NAME?</v>
      </c>
      <c r="K72" s="92">
        <f t="shared" si="2"/>
        <v>0</v>
      </c>
      <c r="L72" s="92">
        <f>Financiamento!D81</f>
        <v>0</v>
      </c>
      <c r="M72" s="92">
        <f>Financiamento!C81</f>
        <v>0</v>
      </c>
      <c r="N72" s="92"/>
      <c r="O72" s="92"/>
      <c r="Q72" s="92" t="e">
        <f t="shared" ca="1" si="27"/>
        <v>#NAME?</v>
      </c>
      <c r="R72" s="92">
        <f t="shared" si="28"/>
        <v>-300</v>
      </c>
      <c r="S72" s="92" t="e">
        <f t="shared" ca="1" si="5"/>
        <v>#NAME?</v>
      </c>
      <c r="T72" s="92"/>
      <c r="U72" s="92" t="e">
        <f t="shared" ca="1" si="6"/>
        <v>#NAME?</v>
      </c>
      <c r="V72" s="92">
        <f t="shared" si="29"/>
        <v>0</v>
      </c>
      <c r="W72" s="92" t="e">
        <f t="shared" ca="1" si="8"/>
        <v>#NAME?</v>
      </c>
      <c r="X72" s="92" t="e">
        <f t="shared" ca="1" si="30"/>
        <v>#NAME?</v>
      </c>
      <c r="Y72" s="92" t="e">
        <f t="shared" ca="1" si="10"/>
        <v>#NAME?</v>
      </c>
      <c r="Z72" s="21"/>
      <c r="AA72" s="92" t="e">
        <f t="shared" ca="1" si="11"/>
        <v>#NAME?</v>
      </c>
      <c r="AB72" s="92">
        <f t="shared" si="31"/>
        <v>0</v>
      </c>
      <c r="AC72" s="92">
        <f t="shared" si="13"/>
        <v>0</v>
      </c>
      <c r="AD72" s="92">
        <f t="shared" si="32"/>
        <v>0</v>
      </c>
      <c r="AE72" s="92" t="e">
        <f t="shared" ca="1" si="15"/>
        <v>#NAME?</v>
      </c>
      <c r="AF72" s="92" t="e">
        <f t="shared" ca="1" si="23"/>
        <v>#NAME?</v>
      </c>
      <c r="AG72" s="92" t="e">
        <f t="shared" ca="1" si="16"/>
        <v>#NAME?</v>
      </c>
      <c r="AQ72" s="21" t="e">
        <f t="shared" ca="1" si="34"/>
        <v>#NAME?</v>
      </c>
      <c r="AR72" s="12" t="e">
        <f t="shared" ca="1" si="35"/>
        <v>#NAME?</v>
      </c>
    </row>
    <row r="73" spans="1:44" ht="15.75" customHeight="1" x14ac:dyDescent="0.35">
      <c r="A73" s="54">
        <f t="shared" si="0"/>
        <v>2027</v>
      </c>
      <c r="B73" s="54" t="str">
        <f t="shared" si="1"/>
        <v>Q2</v>
      </c>
      <c r="C73" s="99">
        <v>46508</v>
      </c>
      <c r="D73" s="92" t="e">
        <f t="array" aca="1" ref="D73" ca="1">7000*(53%*0.4+47%*0.85)+2800*0.9*_xludf.IFS(B73="Q1",1.3,B73="Q2",0.7,B73="Q3",0.8,B73="Q4",1.2)</f>
        <v>#NAME?</v>
      </c>
      <c r="E73" s="92">
        <v>2319.9106874795975</v>
      </c>
      <c r="F73" s="92">
        <f t="shared" si="25"/>
        <v>0</v>
      </c>
      <c r="G73" s="92">
        <v>300</v>
      </c>
      <c r="H73" s="92"/>
      <c r="I73" s="92"/>
      <c r="J73" s="92" t="e">
        <f t="shared" ca="1" si="26"/>
        <v>#NAME?</v>
      </c>
      <c r="K73" s="92">
        <f t="shared" si="2"/>
        <v>0</v>
      </c>
      <c r="L73" s="92">
        <f>Financiamento!D82</f>
        <v>0</v>
      </c>
      <c r="M73" s="92">
        <f>Financiamento!C82</f>
        <v>0</v>
      </c>
      <c r="N73" s="92"/>
      <c r="O73" s="92"/>
      <c r="Q73" s="92" t="e">
        <f t="shared" ca="1" si="27"/>
        <v>#NAME?</v>
      </c>
      <c r="R73" s="92">
        <f t="shared" si="28"/>
        <v>-300</v>
      </c>
      <c r="S73" s="92" t="e">
        <f t="shared" ca="1" si="5"/>
        <v>#NAME?</v>
      </c>
      <c r="T73" s="92"/>
      <c r="U73" s="92" t="e">
        <f t="shared" ca="1" si="6"/>
        <v>#NAME?</v>
      </c>
      <c r="V73" s="92">
        <f t="shared" si="29"/>
        <v>0</v>
      </c>
      <c r="W73" s="92" t="e">
        <f t="shared" ca="1" si="8"/>
        <v>#NAME?</v>
      </c>
      <c r="X73" s="92" t="e">
        <f t="shared" ca="1" si="30"/>
        <v>#NAME?</v>
      </c>
      <c r="Y73" s="92" t="e">
        <f t="shared" ca="1" si="10"/>
        <v>#NAME?</v>
      </c>
      <c r="Z73" s="21"/>
      <c r="AA73" s="92" t="e">
        <f t="shared" ca="1" si="11"/>
        <v>#NAME?</v>
      </c>
      <c r="AB73" s="92">
        <f t="shared" si="31"/>
        <v>0</v>
      </c>
      <c r="AC73" s="92">
        <f t="shared" si="13"/>
        <v>0</v>
      </c>
      <c r="AD73" s="92">
        <f t="shared" si="32"/>
        <v>0</v>
      </c>
      <c r="AE73" s="92" t="e">
        <f t="shared" ca="1" si="15"/>
        <v>#NAME?</v>
      </c>
      <c r="AF73" s="92" t="e">
        <f t="shared" ca="1" si="23"/>
        <v>#NAME?</v>
      </c>
      <c r="AG73" s="92" t="e">
        <f t="shared" ca="1" si="16"/>
        <v>#NAME?</v>
      </c>
      <c r="AQ73" s="21" t="e">
        <f t="shared" ca="1" si="34"/>
        <v>#NAME?</v>
      </c>
      <c r="AR73" s="12" t="e">
        <f t="shared" ca="1" si="35"/>
        <v>#NAME?</v>
      </c>
    </row>
    <row r="74" spans="1:44" ht="15.75" customHeight="1" x14ac:dyDescent="0.35">
      <c r="A74" s="54">
        <f t="shared" si="0"/>
        <v>2027</v>
      </c>
      <c r="B74" s="54" t="str">
        <f t="shared" si="1"/>
        <v>Q2</v>
      </c>
      <c r="C74" s="99">
        <v>46539</v>
      </c>
      <c r="D74" s="92" t="e">
        <f t="array" aca="1" ref="D74" ca="1">7000*(53%*0.4+47%*0.85)+2800*0.9*_xludf.IFS(B74="Q1",1.3,B74="Q2",0.7,B74="Q3",0.8,B74="Q4",1.2)</f>
        <v>#NAME?</v>
      </c>
      <c r="E74" s="92">
        <v>2445.1596931694703</v>
      </c>
      <c r="F74" s="92">
        <f t="shared" si="25"/>
        <v>0</v>
      </c>
      <c r="G74" s="92">
        <v>300</v>
      </c>
      <c r="H74" s="92"/>
      <c r="I74" s="92"/>
      <c r="J74" s="92" t="e">
        <f t="shared" ca="1" si="26"/>
        <v>#NAME?</v>
      </c>
      <c r="K74" s="92">
        <f t="shared" si="2"/>
        <v>0</v>
      </c>
      <c r="L74" s="92">
        <f>Financiamento!D83</f>
        <v>0</v>
      </c>
      <c r="M74" s="92">
        <f>Financiamento!C83</f>
        <v>0</v>
      </c>
      <c r="N74" s="92"/>
      <c r="O74" s="92"/>
      <c r="Q74" s="92" t="e">
        <f t="shared" ca="1" si="27"/>
        <v>#NAME?</v>
      </c>
      <c r="R74" s="92">
        <f t="shared" si="28"/>
        <v>-300</v>
      </c>
      <c r="S74" s="92" t="e">
        <f t="shared" ca="1" si="5"/>
        <v>#NAME?</v>
      </c>
      <c r="T74" s="92"/>
      <c r="U74" s="92" t="e">
        <f t="shared" ca="1" si="6"/>
        <v>#NAME?</v>
      </c>
      <c r="V74" s="92">
        <f t="shared" si="29"/>
        <v>0</v>
      </c>
      <c r="W74" s="92" t="e">
        <f t="shared" ca="1" si="8"/>
        <v>#NAME?</v>
      </c>
      <c r="X74" s="92" t="e">
        <f t="shared" ca="1" si="30"/>
        <v>#NAME?</v>
      </c>
      <c r="Y74" s="92" t="e">
        <f t="shared" ca="1" si="10"/>
        <v>#NAME?</v>
      </c>
      <c r="Z74" s="21"/>
      <c r="AA74" s="92" t="e">
        <f t="shared" ca="1" si="11"/>
        <v>#NAME?</v>
      </c>
      <c r="AB74" s="92">
        <f t="shared" si="31"/>
        <v>0</v>
      </c>
      <c r="AC74" s="92">
        <f t="shared" si="13"/>
        <v>0</v>
      </c>
      <c r="AD74" s="92">
        <f t="shared" si="32"/>
        <v>0</v>
      </c>
      <c r="AE74" s="92" t="e">
        <f t="shared" ca="1" si="15"/>
        <v>#NAME?</v>
      </c>
      <c r="AF74" s="92" t="e">
        <f t="shared" ca="1" si="23"/>
        <v>#NAME?</v>
      </c>
      <c r="AG74" s="92" t="e">
        <f t="shared" ca="1" si="16"/>
        <v>#NAME?</v>
      </c>
      <c r="AQ74" s="21" t="e">
        <f t="shared" ca="1" si="34"/>
        <v>#NAME?</v>
      </c>
      <c r="AR74" s="12" t="e">
        <f t="shared" ca="1" si="35"/>
        <v>#NAME?</v>
      </c>
    </row>
    <row r="75" spans="1:44" ht="15.75" customHeight="1" x14ac:dyDescent="0.35">
      <c r="A75" s="54">
        <f t="shared" si="0"/>
        <v>2027</v>
      </c>
      <c r="B75" s="54" t="str">
        <f t="shared" si="1"/>
        <v>Q3</v>
      </c>
      <c r="C75" s="99">
        <v>46569</v>
      </c>
      <c r="D75" s="92" t="e">
        <f t="array" aca="1" ref="D75" ca="1">7000*(53%*0.4+47%*0.85)+2800*0.9*_xludf.IFS(B75="Q1",1.3,B75="Q2",0.7,B75="Q3",0.8,B75="Q4",1.2)</f>
        <v>#NAME?</v>
      </c>
      <c r="E75" s="92">
        <v>2252.6127142730979</v>
      </c>
      <c r="F75" s="92">
        <f t="shared" si="25"/>
        <v>0</v>
      </c>
      <c r="G75" s="92">
        <v>300</v>
      </c>
      <c r="H75" s="92"/>
      <c r="I75" s="92"/>
      <c r="J75" s="92" t="e">
        <f t="shared" ca="1" si="26"/>
        <v>#NAME?</v>
      </c>
      <c r="K75" s="92">
        <f t="shared" si="2"/>
        <v>0</v>
      </c>
      <c r="L75" s="92">
        <f>Financiamento!D84</f>
        <v>0</v>
      </c>
      <c r="M75" s="92">
        <f>Financiamento!C84</f>
        <v>0</v>
      </c>
      <c r="N75" s="92"/>
      <c r="O75" s="92"/>
      <c r="Q75" s="92" t="e">
        <f t="shared" ca="1" si="27"/>
        <v>#NAME?</v>
      </c>
      <c r="R75" s="92">
        <f t="shared" si="28"/>
        <v>-300</v>
      </c>
      <c r="S75" s="92" t="e">
        <f t="shared" ca="1" si="5"/>
        <v>#NAME?</v>
      </c>
      <c r="T75" s="92"/>
      <c r="U75" s="92" t="e">
        <f t="shared" ca="1" si="6"/>
        <v>#NAME?</v>
      </c>
      <c r="V75" s="92">
        <f t="shared" si="29"/>
        <v>0</v>
      </c>
      <c r="W75" s="92" t="e">
        <f t="shared" ca="1" si="8"/>
        <v>#NAME?</v>
      </c>
      <c r="X75" s="92" t="e">
        <f t="shared" ca="1" si="30"/>
        <v>#NAME?</v>
      </c>
      <c r="Y75" s="92" t="e">
        <f t="shared" ca="1" si="10"/>
        <v>#NAME?</v>
      </c>
      <c r="Z75" s="21"/>
      <c r="AA75" s="92" t="e">
        <f t="shared" ca="1" si="11"/>
        <v>#NAME?</v>
      </c>
      <c r="AB75" s="92">
        <f t="shared" si="31"/>
        <v>0</v>
      </c>
      <c r="AC75" s="92">
        <f t="shared" si="13"/>
        <v>0</v>
      </c>
      <c r="AD75" s="92">
        <f t="shared" si="32"/>
        <v>0</v>
      </c>
      <c r="AE75" s="92" t="e">
        <f t="shared" ca="1" si="15"/>
        <v>#NAME?</v>
      </c>
      <c r="AF75" s="92" t="e">
        <f t="shared" ca="1" si="23"/>
        <v>#NAME?</v>
      </c>
      <c r="AG75" s="92" t="e">
        <f t="shared" ca="1" si="16"/>
        <v>#NAME?</v>
      </c>
      <c r="AQ75" s="21" t="e">
        <f t="shared" ca="1" si="34"/>
        <v>#NAME?</v>
      </c>
      <c r="AR75" s="12" t="e">
        <f t="shared" ca="1" si="35"/>
        <v>#NAME?</v>
      </c>
    </row>
    <row r="76" spans="1:44" ht="15.75" customHeight="1" x14ac:dyDescent="0.35">
      <c r="A76" s="54">
        <f t="shared" si="0"/>
        <v>2027</v>
      </c>
      <c r="B76" s="54" t="str">
        <f t="shared" si="1"/>
        <v>Q3</v>
      </c>
      <c r="C76" s="99">
        <v>46600</v>
      </c>
      <c r="D76" s="92" t="e">
        <f t="array" aca="1" ref="D76" ca="1">7000*(53%*0.4+47%*0.85)+2800*0.9*_xludf.IFS(B76="Q1",1.3,B76="Q2",0.7,B76="Q3",0.8,B76="Q4",1.2)</f>
        <v>#NAME?</v>
      </c>
      <c r="E76" s="92">
        <v>2041.3718539304755</v>
      </c>
      <c r="F76" s="92">
        <f t="shared" si="25"/>
        <v>0</v>
      </c>
      <c r="G76" s="92">
        <v>300</v>
      </c>
      <c r="H76" s="92"/>
      <c r="I76" s="92"/>
      <c r="J76" s="92" t="e">
        <f t="shared" ca="1" si="26"/>
        <v>#NAME?</v>
      </c>
      <c r="K76" s="92">
        <f t="shared" si="2"/>
        <v>0</v>
      </c>
      <c r="L76" s="92">
        <f>Financiamento!D85</f>
        <v>0</v>
      </c>
      <c r="M76" s="92">
        <f>Financiamento!C85</f>
        <v>0</v>
      </c>
      <c r="N76" s="92"/>
      <c r="O76" s="92"/>
      <c r="Q76" s="92" t="e">
        <f t="shared" ca="1" si="27"/>
        <v>#NAME?</v>
      </c>
      <c r="R76" s="92">
        <f t="shared" si="28"/>
        <v>-300</v>
      </c>
      <c r="S76" s="92" t="e">
        <f t="shared" ca="1" si="5"/>
        <v>#NAME?</v>
      </c>
      <c r="T76" s="92"/>
      <c r="U76" s="92" t="e">
        <f t="shared" ca="1" si="6"/>
        <v>#NAME?</v>
      </c>
      <c r="V76" s="92">
        <f t="shared" si="29"/>
        <v>0</v>
      </c>
      <c r="W76" s="92" t="e">
        <f t="shared" ca="1" si="8"/>
        <v>#NAME?</v>
      </c>
      <c r="X76" s="92" t="e">
        <f t="shared" ca="1" si="30"/>
        <v>#NAME?</v>
      </c>
      <c r="Y76" s="92" t="e">
        <f t="shared" ca="1" si="10"/>
        <v>#NAME?</v>
      </c>
      <c r="Z76" s="21"/>
      <c r="AA76" s="92" t="e">
        <f t="shared" ca="1" si="11"/>
        <v>#NAME?</v>
      </c>
      <c r="AB76" s="92">
        <f t="shared" si="31"/>
        <v>0</v>
      </c>
      <c r="AC76" s="92">
        <f t="shared" si="13"/>
        <v>0</v>
      </c>
      <c r="AD76" s="92">
        <f t="shared" si="32"/>
        <v>0</v>
      </c>
      <c r="AE76" s="92" t="e">
        <f t="shared" ca="1" si="15"/>
        <v>#NAME?</v>
      </c>
      <c r="AF76" s="92" t="e">
        <f t="shared" ca="1" si="23"/>
        <v>#NAME?</v>
      </c>
      <c r="AG76" s="92" t="e">
        <f t="shared" ca="1" si="16"/>
        <v>#NAME?</v>
      </c>
      <c r="AQ76" s="21" t="e">
        <f t="shared" ca="1" si="34"/>
        <v>#NAME?</v>
      </c>
      <c r="AR76" s="12" t="e">
        <f t="shared" ca="1" si="35"/>
        <v>#NAME?</v>
      </c>
    </row>
    <row r="77" spans="1:44" ht="15.75" customHeight="1" x14ac:dyDescent="0.35">
      <c r="A77" s="54">
        <f t="shared" si="0"/>
        <v>2027</v>
      </c>
      <c r="B77" s="54" t="str">
        <f t="shared" si="1"/>
        <v>Q3</v>
      </c>
      <c r="C77" s="99">
        <v>46631</v>
      </c>
      <c r="D77" s="92" t="e">
        <f t="array" aca="1" ref="D77" ca="1">7000*(53%*0.4+47%*0.85)+2800*0.9*_xludf.IFS(B77="Q1",1.3,B77="Q2",0.7,B77="Q3",0.8,B77="Q4",1.2)</f>
        <v>#NAME?</v>
      </c>
      <c r="E77" s="92">
        <v>1955.3799992777267</v>
      </c>
      <c r="F77" s="92">
        <f t="shared" si="25"/>
        <v>0</v>
      </c>
      <c r="G77" s="92">
        <v>300</v>
      </c>
      <c r="H77" s="92"/>
      <c r="I77" s="92"/>
      <c r="J77" s="92" t="e">
        <f t="shared" ca="1" si="26"/>
        <v>#NAME?</v>
      </c>
      <c r="K77" s="92">
        <f t="shared" si="2"/>
        <v>0</v>
      </c>
      <c r="L77" s="92">
        <f>Financiamento!D86</f>
        <v>0</v>
      </c>
      <c r="M77" s="92">
        <f>Financiamento!C86</f>
        <v>0</v>
      </c>
      <c r="N77" s="92"/>
      <c r="O77" s="92"/>
      <c r="Q77" s="92" t="e">
        <f t="shared" ca="1" si="27"/>
        <v>#NAME?</v>
      </c>
      <c r="R77" s="92">
        <f t="shared" si="28"/>
        <v>-300</v>
      </c>
      <c r="S77" s="92" t="e">
        <f t="shared" ca="1" si="5"/>
        <v>#NAME?</v>
      </c>
      <c r="T77" s="92"/>
      <c r="U77" s="92" t="e">
        <f t="shared" ca="1" si="6"/>
        <v>#NAME?</v>
      </c>
      <c r="V77" s="92">
        <f t="shared" si="29"/>
        <v>0</v>
      </c>
      <c r="W77" s="92" t="e">
        <f t="shared" ca="1" si="8"/>
        <v>#NAME?</v>
      </c>
      <c r="X77" s="92" t="e">
        <f t="shared" ca="1" si="30"/>
        <v>#NAME?</v>
      </c>
      <c r="Y77" s="92" t="e">
        <f t="shared" ca="1" si="10"/>
        <v>#NAME?</v>
      </c>
      <c r="Z77" s="21"/>
      <c r="AA77" s="92" t="e">
        <f t="shared" ca="1" si="11"/>
        <v>#NAME?</v>
      </c>
      <c r="AB77" s="92">
        <f t="shared" si="31"/>
        <v>0</v>
      </c>
      <c r="AC77" s="92">
        <f t="shared" si="13"/>
        <v>0</v>
      </c>
      <c r="AD77" s="92">
        <f t="shared" si="32"/>
        <v>0</v>
      </c>
      <c r="AE77" s="92" t="e">
        <f t="shared" ca="1" si="15"/>
        <v>#NAME?</v>
      </c>
      <c r="AF77" s="92" t="e">
        <f t="shared" ca="1" si="23"/>
        <v>#NAME?</v>
      </c>
      <c r="AG77" s="92" t="e">
        <f t="shared" ca="1" si="16"/>
        <v>#NAME?</v>
      </c>
      <c r="AQ77" s="21" t="e">
        <f t="shared" ca="1" si="34"/>
        <v>#NAME?</v>
      </c>
      <c r="AR77" s="12" t="e">
        <f t="shared" ca="1" si="35"/>
        <v>#NAME?</v>
      </c>
    </row>
    <row r="78" spans="1:44" ht="15.75" customHeight="1" x14ac:dyDescent="0.35">
      <c r="A78" s="54">
        <f t="shared" si="0"/>
        <v>2027</v>
      </c>
      <c r="B78" s="54" t="str">
        <f t="shared" si="1"/>
        <v>Q4</v>
      </c>
      <c r="C78" s="99">
        <v>46661</v>
      </c>
      <c r="D78" s="92" t="e">
        <f t="array" aca="1" ref="D78" ca="1">7000*(53%*0.4+47%*0.85)+2800*0.9*_xludf.IFS(B78="Q1",1.3,B78="Q2",0.7,B78="Q3",0.8,B78="Q4",1.2)</f>
        <v>#NAME?</v>
      </c>
      <c r="E78" s="92">
        <v>2088.1065575460998</v>
      </c>
      <c r="F78" s="92">
        <f t="shared" si="25"/>
        <v>0</v>
      </c>
      <c r="G78" s="92">
        <v>300</v>
      </c>
      <c r="H78" s="92"/>
      <c r="I78" s="92"/>
      <c r="J78" s="92" t="e">
        <f t="shared" ca="1" si="26"/>
        <v>#NAME?</v>
      </c>
      <c r="K78" s="92">
        <f t="shared" si="2"/>
        <v>0</v>
      </c>
      <c r="L78" s="92">
        <f>Financiamento!D87</f>
        <v>0</v>
      </c>
      <c r="M78" s="92">
        <f>Financiamento!C87</f>
        <v>0</v>
      </c>
      <c r="N78" s="92"/>
      <c r="O78" s="92"/>
      <c r="Q78" s="92" t="e">
        <f t="shared" ca="1" si="27"/>
        <v>#NAME?</v>
      </c>
      <c r="R78" s="92">
        <f t="shared" si="28"/>
        <v>-300</v>
      </c>
      <c r="S78" s="92" t="e">
        <f t="shared" ca="1" si="5"/>
        <v>#NAME?</v>
      </c>
      <c r="T78" s="92"/>
      <c r="U78" s="92" t="e">
        <f t="shared" ca="1" si="6"/>
        <v>#NAME?</v>
      </c>
      <c r="V78" s="92">
        <f t="shared" si="29"/>
        <v>0</v>
      </c>
      <c r="W78" s="92" t="e">
        <f t="shared" ca="1" si="8"/>
        <v>#NAME?</v>
      </c>
      <c r="X78" s="92" t="e">
        <f t="shared" ca="1" si="30"/>
        <v>#NAME?</v>
      </c>
      <c r="Y78" s="92" t="e">
        <f t="shared" ca="1" si="10"/>
        <v>#NAME?</v>
      </c>
      <c r="Z78" s="21"/>
      <c r="AA78" s="92" t="e">
        <f t="shared" ca="1" si="11"/>
        <v>#NAME?</v>
      </c>
      <c r="AB78" s="92">
        <f t="shared" si="31"/>
        <v>0</v>
      </c>
      <c r="AC78" s="92">
        <f t="shared" si="13"/>
        <v>0</v>
      </c>
      <c r="AD78" s="92">
        <f t="shared" si="32"/>
        <v>0</v>
      </c>
      <c r="AE78" s="92" t="e">
        <f t="shared" ca="1" si="15"/>
        <v>#NAME?</v>
      </c>
      <c r="AF78" s="92" t="e">
        <f t="shared" ca="1" si="23"/>
        <v>#NAME?</v>
      </c>
      <c r="AG78" s="92" t="e">
        <f t="shared" ca="1" si="16"/>
        <v>#NAME?</v>
      </c>
      <c r="AQ78" s="21" t="e">
        <f t="shared" ca="1" si="34"/>
        <v>#NAME?</v>
      </c>
      <c r="AR78" s="12" t="e">
        <f t="shared" ca="1" si="35"/>
        <v>#NAME?</v>
      </c>
    </row>
    <row r="79" spans="1:44" ht="15.75" customHeight="1" x14ac:dyDescent="0.35">
      <c r="A79" s="54">
        <f t="shared" si="0"/>
        <v>2027</v>
      </c>
      <c r="B79" s="54" t="str">
        <f t="shared" si="1"/>
        <v>Q4</v>
      </c>
      <c r="C79" s="99">
        <v>46692</v>
      </c>
      <c r="D79" s="92" t="e">
        <f t="array" aca="1" ref="D79" ca="1">7000*(53%*0.4+47%*0.85)+2800*0.9*_xludf.IFS(B79="Q1",1.3,B79="Q2",0.7,B79="Q3",0.8,B79="Q4",1.2)</f>
        <v>#NAME?</v>
      </c>
      <c r="E79" s="92">
        <v>2252.6127142730979</v>
      </c>
      <c r="F79" s="92">
        <f t="shared" si="25"/>
        <v>2000</v>
      </c>
      <c r="G79" s="92">
        <v>300</v>
      </c>
      <c r="H79" s="92"/>
      <c r="I79" s="92"/>
      <c r="J79" s="92" t="e">
        <f t="shared" ca="1" si="26"/>
        <v>#NAME?</v>
      </c>
      <c r="K79" s="92">
        <f t="shared" si="2"/>
        <v>0</v>
      </c>
      <c r="L79" s="92">
        <f>Financiamento!D88</f>
        <v>0</v>
      </c>
      <c r="M79" s="92">
        <f>Financiamento!C88</f>
        <v>0</v>
      </c>
      <c r="N79" s="92"/>
      <c r="O79" s="92"/>
      <c r="Q79" s="92" t="e">
        <f t="shared" ca="1" si="27"/>
        <v>#NAME?</v>
      </c>
      <c r="R79" s="92">
        <f t="shared" si="28"/>
        <v>-2300</v>
      </c>
      <c r="S79" s="92" t="e">
        <f t="shared" ca="1" si="5"/>
        <v>#NAME?</v>
      </c>
      <c r="T79" s="92"/>
      <c r="U79" s="92" t="e">
        <f t="shared" ca="1" si="6"/>
        <v>#NAME?</v>
      </c>
      <c r="V79" s="92">
        <f t="shared" si="29"/>
        <v>0</v>
      </c>
      <c r="W79" s="92" t="e">
        <f t="shared" ca="1" si="8"/>
        <v>#NAME?</v>
      </c>
      <c r="X79" s="92" t="e">
        <f t="shared" ca="1" si="30"/>
        <v>#NAME?</v>
      </c>
      <c r="Y79" s="92" t="e">
        <f t="shared" ca="1" si="10"/>
        <v>#NAME?</v>
      </c>
      <c r="Z79" s="21"/>
      <c r="AA79" s="92" t="e">
        <f t="shared" ca="1" si="11"/>
        <v>#NAME?</v>
      </c>
      <c r="AB79" s="92">
        <f t="shared" si="31"/>
        <v>0</v>
      </c>
      <c r="AC79" s="92">
        <f t="shared" si="13"/>
        <v>0</v>
      </c>
      <c r="AD79" s="92">
        <f t="shared" si="32"/>
        <v>0</v>
      </c>
      <c r="AE79" s="92" t="e">
        <f t="shared" ca="1" si="15"/>
        <v>#NAME?</v>
      </c>
      <c r="AF79" s="92" t="e">
        <f t="shared" ca="1" si="23"/>
        <v>#NAME?</v>
      </c>
      <c r="AG79" s="92" t="e">
        <f t="shared" ca="1" si="16"/>
        <v>#NAME?</v>
      </c>
      <c r="AQ79" s="21" t="e">
        <f t="shared" ca="1" si="34"/>
        <v>#NAME?</v>
      </c>
      <c r="AR79" s="12" t="e">
        <f t="shared" ca="1" si="35"/>
        <v>#NAME?</v>
      </c>
    </row>
    <row r="80" spans="1:44" ht="15.75" customHeight="1" x14ac:dyDescent="0.35">
      <c r="A80" s="54">
        <f t="shared" si="0"/>
        <v>2027</v>
      </c>
      <c r="B80" s="54" t="str">
        <f t="shared" si="1"/>
        <v>Q4</v>
      </c>
      <c r="C80" s="99">
        <v>46722</v>
      </c>
      <c r="D80" s="92" t="e">
        <f t="array" aca="1" ref="D80" ca="1">7000*(53%*0.4+47%*0.85)+2800*0.9*_xludf.IFS(B80="Q1",1.3,B80="Q2",0.7,B80="Q3",0.8,B80="Q4",1.2)</f>
        <v>#NAME?</v>
      </c>
      <c r="E80" s="92">
        <v>2131.1024848724742</v>
      </c>
      <c r="F80" s="92">
        <f t="shared" si="25"/>
        <v>0</v>
      </c>
      <c r="G80" s="92">
        <v>300</v>
      </c>
      <c r="H80" s="92"/>
      <c r="I80" s="92"/>
      <c r="J80" s="92" t="e">
        <f t="shared" ca="1" si="26"/>
        <v>#NAME?</v>
      </c>
      <c r="K80" s="92">
        <f t="shared" si="2"/>
        <v>0</v>
      </c>
      <c r="L80" s="92">
        <f>Financiamento!D89</f>
        <v>0</v>
      </c>
      <c r="M80" s="92">
        <f>Financiamento!C89</f>
        <v>0</v>
      </c>
      <c r="N80" s="92"/>
      <c r="O80" s="92"/>
      <c r="Q80" s="92" t="e">
        <f t="shared" ca="1" si="27"/>
        <v>#NAME?</v>
      </c>
      <c r="R80" s="92">
        <f t="shared" si="28"/>
        <v>-300</v>
      </c>
      <c r="S80" s="92" t="e">
        <f t="shared" ca="1" si="5"/>
        <v>#NAME?</v>
      </c>
      <c r="T80" s="92"/>
      <c r="U80" s="92" t="e">
        <f t="shared" ca="1" si="6"/>
        <v>#NAME?</v>
      </c>
      <c r="V80" s="92">
        <f t="shared" si="29"/>
        <v>0</v>
      </c>
      <c r="W80" s="92" t="e">
        <f t="shared" ca="1" si="8"/>
        <v>#NAME?</v>
      </c>
      <c r="X80" s="92" t="e">
        <f t="shared" ca="1" si="30"/>
        <v>#NAME?</v>
      </c>
      <c r="Y80" s="92" t="e">
        <f t="shared" ca="1" si="10"/>
        <v>#NAME?</v>
      </c>
      <c r="Z80" s="21"/>
      <c r="AA80" s="92" t="e">
        <f t="shared" ca="1" si="11"/>
        <v>#NAME?</v>
      </c>
      <c r="AB80" s="92">
        <f t="shared" si="31"/>
        <v>0</v>
      </c>
      <c r="AC80" s="92">
        <f t="shared" si="13"/>
        <v>0</v>
      </c>
      <c r="AD80" s="92">
        <f t="shared" si="32"/>
        <v>0</v>
      </c>
      <c r="AE80" s="92" t="e">
        <f t="shared" ca="1" si="15"/>
        <v>#NAME?</v>
      </c>
      <c r="AF80" s="92" t="e">
        <f t="shared" ca="1" si="23"/>
        <v>#NAME?</v>
      </c>
      <c r="AG80" s="92" t="e">
        <f t="shared" ca="1" si="16"/>
        <v>#NAME?</v>
      </c>
      <c r="AQ80" s="21" t="e">
        <f t="shared" ca="1" si="34"/>
        <v>#NAME?</v>
      </c>
      <c r="AR80" s="12" t="e">
        <f t="shared" ca="1" si="35"/>
        <v>#NAME?</v>
      </c>
    </row>
    <row r="81" spans="1:44" ht="15.75" customHeight="1" x14ac:dyDescent="0.35">
      <c r="A81" s="54">
        <f t="shared" si="0"/>
        <v>2028</v>
      </c>
      <c r="B81" s="54" t="str">
        <f t="shared" si="1"/>
        <v>Q1</v>
      </c>
      <c r="C81" s="99">
        <v>46753</v>
      </c>
      <c r="D81" s="92" t="e">
        <f t="array" aca="1" ref="D81" ca="1">7000*(53%*0.4+47%*0.85)+2800*0.9*_xludf.IFS(B81="Q1",1.3,B81="Q2",0.7,B81="Q3",0.8,B81="Q4",1.2)</f>
        <v>#NAME?</v>
      </c>
      <c r="E81" s="92">
        <v>2164.751471475724</v>
      </c>
      <c r="F81" s="92">
        <f t="shared" si="25"/>
        <v>0</v>
      </c>
      <c r="G81" s="92">
        <v>300</v>
      </c>
      <c r="H81" s="92"/>
      <c r="I81" s="92"/>
      <c r="J81" s="92" t="e">
        <f t="shared" ca="1" si="26"/>
        <v>#NAME?</v>
      </c>
      <c r="K81" s="92">
        <f t="shared" si="2"/>
        <v>0</v>
      </c>
      <c r="L81" s="92">
        <f>Financiamento!D90</f>
        <v>0</v>
      </c>
      <c r="M81" s="92">
        <f>Financiamento!C90</f>
        <v>0</v>
      </c>
      <c r="N81" s="92"/>
      <c r="O81" s="92"/>
      <c r="Q81" s="92" t="e">
        <f t="shared" ca="1" si="27"/>
        <v>#NAME?</v>
      </c>
      <c r="R81" s="92">
        <f t="shared" si="28"/>
        <v>-300</v>
      </c>
      <c r="S81" s="92" t="e">
        <f t="shared" ca="1" si="5"/>
        <v>#NAME?</v>
      </c>
      <c r="T81" s="92"/>
      <c r="U81" s="92" t="e">
        <f t="shared" ca="1" si="6"/>
        <v>#NAME?</v>
      </c>
      <c r="V81" s="92">
        <f t="shared" si="29"/>
        <v>0</v>
      </c>
      <c r="W81" s="92" t="e">
        <f t="shared" ca="1" si="8"/>
        <v>#NAME?</v>
      </c>
      <c r="X81" s="92" t="e">
        <f t="shared" ca="1" si="30"/>
        <v>#NAME?</v>
      </c>
      <c r="Y81" s="92" t="e">
        <f t="shared" ca="1" si="10"/>
        <v>#NAME?</v>
      </c>
      <c r="Z81" s="21"/>
      <c r="AA81" s="92" t="e">
        <f t="shared" ca="1" si="11"/>
        <v>#NAME?</v>
      </c>
      <c r="AB81" s="92">
        <f t="shared" si="31"/>
        <v>0</v>
      </c>
      <c r="AC81" s="92">
        <f t="shared" si="13"/>
        <v>0</v>
      </c>
      <c r="AD81" s="92">
        <f t="shared" si="32"/>
        <v>0</v>
      </c>
      <c r="AE81" s="92" t="e">
        <f t="shared" ca="1" si="15"/>
        <v>#NAME?</v>
      </c>
      <c r="AF81" s="92" t="e">
        <f t="shared" ca="1" si="23"/>
        <v>#NAME?</v>
      </c>
      <c r="AG81" s="92" t="e">
        <f t="shared" ca="1" si="16"/>
        <v>#NAME?</v>
      </c>
      <c r="AQ81" s="21" t="e">
        <f t="shared" ca="1" si="34"/>
        <v>#NAME?</v>
      </c>
      <c r="AR81" s="12" t="e">
        <f t="shared" ca="1" si="35"/>
        <v>#NAME?</v>
      </c>
    </row>
    <row r="82" spans="1:44" ht="15.75" customHeight="1" x14ac:dyDescent="0.35">
      <c r="A82" s="54">
        <f t="shared" si="0"/>
        <v>2028</v>
      </c>
      <c r="B82" s="54" t="str">
        <f t="shared" si="1"/>
        <v>Q1</v>
      </c>
      <c r="C82" s="99">
        <v>46784</v>
      </c>
      <c r="D82" s="92" t="e">
        <f t="array" aca="1" ref="D82" ca="1">7000*(53%*0.4+47%*0.85)+2800*0.9*_xludf.IFS(B82="Q1",1.3,B82="Q2",0.7,B82="Q3",0.8,B82="Q4",1.2)</f>
        <v>#NAME?</v>
      </c>
      <c r="E82" s="92">
        <v>2076.89022867835</v>
      </c>
      <c r="F82" s="92">
        <f t="shared" si="25"/>
        <v>0</v>
      </c>
      <c r="G82" s="92">
        <v>300</v>
      </c>
      <c r="H82" s="92"/>
      <c r="I82" s="92"/>
      <c r="J82" s="92" t="e">
        <f t="shared" ca="1" si="26"/>
        <v>#NAME?</v>
      </c>
      <c r="K82" s="92">
        <f t="shared" si="2"/>
        <v>0</v>
      </c>
      <c r="L82" s="92">
        <f>Financiamento!D91</f>
        <v>0</v>
      </c>
      <c r="M82" s="92">
        <f>Financiamento!C91</f>
        <v>0</v>
      </c>
      <c r="N82" s="92"/>
      <c r="O82" s="92"/>
      <c r="Q82" s="92" t="e">
        <f t="shared" ca="1" si="27"/>
        <v>#NAME?</v>
      </c>
      <c r="R82" s="92">
        <f t="shared" si="28"/>
        <v>-300</v>
      </c>
      <c r="S82" s="92" t="e">
        <f t="shared" ca="1" si="5"/>
        <v>#NAME?</v>
      </c>
      <c r="T82" s="92"/>
      <c r="U82" s="92" t="e">
        <f t="shared" ca="1" si="6"/>
        <v>#NAME?</v>
      </c>
      <c r="V82" s="92">
        <f t="shared" si="29"/>
        <v>0</v>
      </c>
      <c r="W82" s="92" t="e">
        <f t="shared" ca="1" si="8"/>
        <v>#NAME?</v>
      </c>
      <c r="X82" s="92" t="e">
        <f t="shared" ca="1" si="30"/>
        <v>#NAME?</v>
      </c>
      <c r="Y82" s="92" t="e">
        <f t="shared" ca="1" si="10"/>
        <v>#NAME?</v>
      </c>
      <c r="Z82" s="21"/>
      <c r="AA82" s="92" t="e">
        <f t="shared" ca="1" si="11"/>
        <v>#NAME?</v>
      </c>
      <c r="AB82" s="92">
        <f t="shared" si="31"/>
        <v>0</v>
      </c>
      <c r="AC82" s="92">
        <f t="shared" si="13"/>
        <v>0</v>
      </c>
      <c r="AD82" s="92">
        <f t="shared" si="32"/>
        <v>0</v>
      </c>
      <c r="AE82" s="92" t="e">
        <f t="shared" ca="1" si="15"/>
        <v>#NAME?</v>
      </c>
      <c r="AF82" s="92" t="e">
        <f t="shared" ca="1" si="23"/>
        <v>#NAME?</v>
      </c>
      <c r="AG82" s="92" t="e">
        <f t="shared" ca="1" si="16"/>
        <v>#NAME?</v>
      </c>
      <c r="AQ82" s="21" t="e">
        <f t="shared" ca="1" si="34"/>
        <v>#NAME?</v>
      </c>
      <c r="AR82" s="12" t="e">
        <f t="shared" ca="1" si="35"/>
        <v>#NAME?</v>
      </c>
    </row>
    <row r="83" spans="1:44" ht="15.75" customHeight="1" x14ac:dyDescent="0.35">
      <c r="A83" s="54">
        <f t="shared" si="0"/>
        <v>2028</v>
      </c>
      <c r="B83" s="54" t="str">
        <f t="shared" si="1"/>
        <v>Q1</v>
      </c>
      <c r="C83" s="99">
        <v>46813</v>
      </c>
      <c r="D83" s="92" t="e">
        <f t="array" aca="1" ref="D83" ca="1">7000*(53%*0.4+47%*0.85)+2800*0.9*_xludf.IFS(B83="Q1",1.3,B83="Q2",0.7,B83="Q3",0.8,B83="Q4",1.2)</f>
        <v>#NAME?</v>
      </c>
      <c r="E83" s="92">
        <v>2267.5678194300976</v>
      </c>
      <c r="F83" s="92">
        <f t="shared" si="25"/>
        <v>0</v>
      </c>
      <c r="G83" s="92">
        <v>300</v>
      </c>
      <c r="H83" s="92"/>
      <c r="I83" s="92"/>
      <c r="J83" s="92" t="e">
        <f t="shared" ca="1" si="26"/>
        <v>#NAME?</v>
      </c>
      <c r="K83" s="92">
        <f t="shared" si="2"/>
        <v>0</v>
      </c>
      <c r="L83" s="92">
        <f>Financiamento!D92</f>
        <v>0</v>
      </c>
      <c r="M83" s="92">
        <f>Financiamento!C92</f>
        <v>0</v>
      </c>
      <c r="N83" s="92"/>
      <c r="O83" s="92"/>
      <c r="Q83" s="92" t="e">
        <f t="shared" ca="1" si="27"/>
        <v>#NAME?</v>
      </c>
      <c r="R83" s="92">
        <f t="shared" si="28"/>
        <v>-300</v>
      </c>
      <c r="S83" s="92" t="e">
        <f t="shared" ca="1" si="5"/>
        <v>#NAME?</v>
      </c>
      <c r="T83" s="92"/>
      <c r="U83" s="92" t="e">
        <f t="shared" ca="1" si="6"/>
        <v>#NAME?</v>
      </c>
      <c r="V83" s="92">
        <f t="shared" si="29"/>
        <v>0</v>
      </c>
      <c r="W83" s="92" t="e">
        <f t="shared" ca="1" si="8"/>
        <v>#NAME?</v>
      </c>
      <c r="X83" s="92" t="e">
        <f t="shared" ca="1" si="30"/>
        <v>#NAME?</v>
      </c>
      <c r="Y83" s="92" t="e">
        <f t="shared" ca="1" si="10"/>
        <v>#NAME?</v>
      </c>
      <c r="Z83" s="21"/>
      <c r="AA83" s="92" t="e">
        <f t="shared" ca="1" si="11"/>
        <v>#NAME?</v>
      </c>
      <c r="AB83" s="92">
        <f t="shared" si="31"/>
        <v>0</v>
      </c>
      <c r="AC83" s="92">
        <f t="shared" si="13"/>
        <v>0</v>
      </c>
      <c r="AD83" s="92">
        <f t="shared" si="32"/>
        <v>0</v>
      </c>
      <c r="AE83" s="92" t="e">
        <f t="shared" ca="1" si="15"/>
        <v>#NAME?</v>
      </c>
      <c r="AF83" s="92" t="e">
        <f t="shared" ca="1" si="23"/>
        <v>#NAME?</v>
      </c>
      <c r="AG83" s="92" t="e">
        <f t="shared" ca="1" si="16"/>
        <v>#NAME?</v>
      </c>
      <c r="AQ83" s="21" t="e">
        <f t="shared" ca="1" si="34"/>
        <v>#NAME?</v>
      </c>
      <c r="AR83" s="12" t="e">
        <f t="shared" ca="1" si="35"/>
        <v>#NAME?</v>
      </c>
    </row>
    <row r="84" spans="1:44" ht="15.75" customHeight="1" x14ac:dyDescent="0.35">
      <c r="A84" s="54">
        <f t="shared" si="0"/>
        <v>2028</v>
      </c>
      <c r="B84" s="54" t="str">
        <f t="shared" si="1"/>
        <v>Q2</v>
      </c>
      <c r="C84" s="99">
        <v>46844</v>
      </c>
      <c r="D84" s="92" t="e">
        <f t="array" aca="1" ref="D84" ca="1">7000*(53%*0.4+47%*0.85)+2800*0.9*_xludf.IFS(B84="Q1",1.3,B84="Q2",0.7,B84="Q3",0.8,B84="Q4",1.2)</f>
        <v>#NAME?</v>
      </c>
      <c r="E84" s="92">
        <v>2401.7222520601949</v>
      </c>
      <c r="F84" s="92">
        <f t="shared" si="25"/>
        <v>0</v>
      </c>
      <c r="G84" s="92">
        <v>300</v>
      </c>
      <c r="H84" s="92"/>
      <c r="I84" s="92"/>
      <c r="J84" s="92" t="e">
        <f t="shared" ca="1" si="26"/>
        <v>#NAME?</v>
      </c>
      <c r="K84" s="92">
        <f t="shared" si="2"/>
        <v>0</v>
      </c>
      <c r="L84" s="92">
        <f>Financiamento!D93</f>
        <v>0</v>
      </c>
      <c r="M84" s="92">
        <f>Financiamento!C93</f>
        <v>0</v>
      </c>
      <c r="N84" s="92"/>
      <c r="O84" s="92"/>
      <c r="Q84" s="92" t="e">
        <f t="shared" ca="1" si="27"/>
        <v>#NAME?</v>
      </c>
      <c r="R84" s="92">
        <f t="shared" si="28"/>
        <v>-300</v>
      </c>
      <c r="S84" s="92" t="e">
        <f t="shared" ca="1" si="5"/>
        <v>#NAME?</v>
      </c>
      <c r="T84" s="92"/>
      <c r="U84" s="92" t="e">
        <f t="shared" ca="1" si="6"/>
        <v>#NAME?</v>
      </c>
      <c r="V84" s="92">
        <f t="shared" si="29"/>
        <v>0</v>
      </c>
      <c r="W84" s="92" t="e">
        <f t="shared" ca="1" si="8"/>
        <v>#NAME?</v>
      </c>
      <c r="X84" s="92" t="e">
        <f t="shared" ca="1" si="30"/>
        <v>#NAME?</v>
      </c>
      <c r="Y84" s="92" t="e">
        <f t="shared" ca="1" si="10"/>
        <v>#NAME?</v>
      </c>
      <c r="Z84" s="21"/>
      <c r="AA84" s="92" t="e">
        <f t="shared" ca="1" si="11"/>
        <v>#NAME?</v>
      </c>
      <c r="AB84" s="92">
        <f t="shared" si="31"/>
        <v>0</v>
      </c>
      <c r="AC84" s="92">
        <f t="shared" si="13"/>
        <v>0</v>
      </c>
      <c r="AD84" s="92">
        <f t="shared" si="32"/>
        <v>0</v>
      </c>
      <c r="AE84" s="92" t="e">
        <f t="shared" ca="1" si="15"/>
        <v>#NAME?</v>
      </c>
      <c r="AF84" s="92" t="e">
        <f t="shared" ca="1" si="23"/>
        <v>#NAME?</v>
      </c>
      <c r="AG84" s="92" t="e">
        <f t="shared" ca="1" si="16"/>
        <v>#NAME?</v>
      </c>
      <c r="AQ84" s="21" t="e">
        <f t="shared" ca="1" si="34"/>
        <v>#NAME?</v>
      </c>
      <c r="AR84" s="12" t="e">
        <f t="shared" ca="1" si="35"/>
        <v>#NAME?</v>
      </c>
    </row>
    <row r="85" spans="1:44" ht="15.75" customHeight="1" x14ac:dyDescent="0.35">
      <c r="A85" s="54">
        <f t="shared" si="0"/>
        <v>2028</v>
      </c>
      <c r="B85" s="54" t="str">
        <f t="shared" si="1"/>
        <v>Q2</v>
      </c>
      <c r="C85" s="99">
        <v>46874</v>
      </c>
      <c r="D85" s="92" t="e">
        <f t="array" aca="1" ref="D85" ca="1">7000*(53%*0.4+47%*0.85)+2800*0.9*_xludf.IFS(B85="Q1",1.3,B85="Q2",0.7,B85="Q3",0.8,B85="Q4",1.2)</f>
        <v>#NAME?</v>
      </c>
      <c r="E85" s="92">
        <v>2314.0817661542715</v>
      </c>
      <c r="F85" s="92">
        <f t="shared" si="25"/>
        <v>0</v>
      </c>
      <c r="G85" s="92">
        <v>300</v>
      </c>
      <c r="H85" s="92"/>
      <c r="I85" s="92"/>
      <c r="J85" s="92" t="e">
        <f t="shared" ca="1" si="26"/>
        <v>#NAME?</v>
      </c>
      <c r="K85" s="92">
        <f t="shared" si="2"/>
        <v>0</v>
      </c>
      <c r="L85" s="92">
        <f>Financiamento!D94</f>
        <v>0</v>
      </c>
      <c r="M85" s="92">
        <f>Financiamento!C94</f>
        <v>0</v>
      </c>
      <c r="N85" s="92"/>
      <c r="O85" s="92"/>
      <c r="Q85" s="92" t="e">
        <f t="shared" ca="1" si="27"/>
        <v>#NAME?</v>
      </c>
      <c r="R85" s="92">
        <f t="shared" si="28"/>
        <v>-300</v>
      </c>
      <c r="S85" s="92" t="e">
        <f t="shared" ca="1" si="5"/>
        <v>#NAME?</v>
      </c>
      <c r="T85" s="92"/>
      <c r="U85" s="92" t="e">
        <f t="shared" ca="1" si="6"/>
        <v>#NAME?</v>
      </c>
      <c r="V85" s="92">
        <f t="shared" si="29"/>
        <v>0</v>
      </c>
      <c r="W85" s="92" t="e">
        <f t="shared" ca="1" si="8"/>
        <v>#NAME?</v>
      </c>
      <c r="X85" s="92" t="e">
        <f t="shared" ca="1" si="30"/>
        <v>#NAME?</v>
      </c>
      <c r="Y85" s="92" t="e">
        <f t="shared" ca="1" si="10"/>
        <v>#NAME?</v>
      </c>
      <c r="Z85" s="21"/>
      <c r="AA85" s="92" t="e">
        <f t="shared" ca="1" si="11"/>
        <v>#NAME?</v>
      </c>
      <c r="AB85" s="92">
        <f t="shared" si="31"/>
        <v>0</v>
      </c>
      <c r="AC85" s="92">
        <f t="shared" si="13"/>
        <v>0</v>
      </c>
      <c r="AD85" s="92">
        <f t="shared" si="32"/>
        <v>0</v>
      </c>
      <c r="AE85" s="92" t="e">
        <f t="shared" ca="1" si="15"/>
        <v>#NAME?</v>
      </c>
      <c r="AF85" s="92" t="e">
        <f t="shared" ca="1" si="23"/>
        <v>#NAME?</v>
      </c>
      <c r="AG85" s="92" t="e">
        <f t="shared" ca="1" si="16"/>
        <v>#NAME?</v>
      </c>
      <c r="AQ85" s="21" t="e">
        <f t="shared" ca="1" si="34"/>
        <v>#NAME?</v>
      </c>
      <c r="AR85" s="12" t="e">
        <f t="shared" ca="1" si="35"/>
        <v>#NAME?</v>
      </c>
    </row>
    <row r="86" spans="1:44" ht="15.75" customHeight="1" x14ac:dyDescent="0.35">
      <c r="A86" s="54">
        <f t="shared" si="0"/>
        <v>2028</v>
      </c>
      <c r="B86" s="54" t="str">
        <f t="shared" si="1"/>
        <v>Q2</v>
      </c>
      <c r="C86" s="99">
        <v>46905</v>
      </c>
      <c r="D86" s="92" t="e">
        <f t="array" aca="1" ref="D86" ca="1">7000*(53%*0.4+47%*0.85)+2800*0.9*_xludf.IFS(B86="Q1",1.3,B86="Q2",0.7,B86="Q3",0.8,B86="Q4",1.2)</f>
        <v>#NAME?</v>
      </c>
      <c r="E86" s="92">
        <v>2439.0160758499492</v>
      </c>
      <c r="F86" s="92">
        <f t="shared" si="25"/>
        <v>0</v>
      </c>
      <c r="G86" s="92">
        <v>300</v>
      </c>
      <c r="H86" s="92"/>
      <c r="I86" s="92"/>
      <c r="J86" s="92" t="e">
        <f t="shared" ca="1" si="26"/>
        <v>#NAME?</v>
      </c>
      <c r="K86" s="92">
        <f t="shared" si="2"/>
        <v>0</v>
      </c>
      <c r="L86" s="92">
        <f>Financiamento!D95</f>
        <v>0</v>
      </c>
      <c r="M86" s="92">
        <f>Financiamento!C95</f>
        <v>0</v>
      </c>
      <c r="N86" s="92"/>
      <c r="O86" s="92"/>
      <c r="Q86" s="92" t="e">
        <f t="shared" ca="1" si="27"/>
        <v>#NAME?</v>
      </c>
      <c r="R86" s="92">
        <f t="shared" si="28"/>
        <v>-300</v>
      </c>
      <c r="S86" s="92" t="e">
        <f t="shared" ca="1" si="5"/>
        <v>#NAME?</v>
      </c>
      <c r="T86" s="92"/>
      <c r="U86" s="92" t="e">
        <f t="shared" ca="1" si="6"/>
        <v>#NAME?</v>
      </c>
      <c r="V86" s="92">
        <f t="shared" si="29"/>
        <v>0</v>
      </c>
      <c r="W86" s="92" t="e">
        <f t="shared" ca="1" si="8"/>
        <v>#NAME?</v>
      </c>
      <c r="X86" s="92" t="e">
        <f t="shared" ca="1" si="30"/>
        <v>#NAME?</v>
      </c>
      <c r="Y86" s="92" t="e">
        <f t="shared" ca="1" si="10"/>
        <v>#NAME?</v>
      </c>
      <c r="Z86" s="21"/>
      <c r="AA86" s="92" t="e">
        <f t="shared" ca="1" si="11"/>
        <v>#NAME?</v>
      </c>
      <c r="AB86" s="92">
        <f t="shared" si="31"/>
        <v>0</v>
      </c>
      <c r="AC86" s="92">
        <f t="shared" si="13"/>
        <v>0</v>
      </c>
      <c r="AD86" s="92">
        <f t="shared" si="32"/>
        <v>0</v>
      </c>
      <c r="AE86" s="92" t="e">
        <f t="shared" ca="1" si="15"/>
        <v>#NAME?</v>
      </c>
      <c r="AF86" s="92" t="e">
        <f t="shared" ca="1" si="23"/>
        <v>#NAME?</v>
      </c>
      <c r="AG86" s="92" t="e">
        <f t="shared" ca="1" si="16"/>
        <v>#NAME?</v>
      </c>
      <c r="AQ86" s="21" t="e">
        <f t="shared" ca="1" si="34"/>
        <v>#NAME?</v>
      </c>
      <c r="AR86" s="12" t="e">
        <f t="shared" ca="1" si="35"/>
        <v>#NAME?</v>
      </c>
    </row>
    <row r="87" spans="1:44" ht="15.75" customHeight="1" x14ac:dyDescent="0.35">
      <c r="A87" s="54">
        <f t="shared" si="0"/>
        <v>2028</v>
      </c>
      <c r="B87" s="54" t="str">
        <f t="shared" si="1"/>
        <v>Q3</v>
      </c>
      <c r="C87" s="99">
        <v>46935</v>
      </c>
      <c r="D87" s="92" t="e">
        <f t="array" aca="1" ref="D87" ca="1">7000*(53%*0.4+47%*0.85)+2800*0.9*_xludf.IFS(B87="Q1",1.3,B87="Q2",0.7,B87="Q3",0.8,B87="Q4",1.2)</f>
        <v>#NAME?</v>
      </c>
      <c r="E87" s="92">
        <v>2246.9528833327131</v>
      </c>
      <c r="F87" s="92">
        <f t="shared" si="25"/>
        <v>0</v>
      </c>
      <c r="G87" s="92">
        <v>300</v>
      </c>
      <c r="H87" s="92"/>
      <c r="I87" s="92"/>
      <c r="J87" s="92" t="e">
        <f t="shared" ca="1" si="26"/>
        <v>#NAME?</v>
      </c>
      <c r="K87" s="92">
        <f t="shared" si="2"/>
        <v>0</v>
      </c>
      <c r="L87" s="92">
        <f>Financiamento!D96</f>
        <v>0</v>
      </c>
      <c r="M87" s="92">
        <f>Financiamento!C96</f>
        <v>0</v>
      </c>
      <c r="N87" s="92"/>
      <c r="O87" s="92"/>
      <c r="Q87" s="92" t="e">
        <f t="shared" ca="1" si="27"/>
        <v>#NAME?</v>
      </c>
      <c r="R87" s="92">
        <f t="shared" si="28"/>
        <v>-300</v>
      </c>
      <c r="S87" s="92" t="e">
        <f t="shared" ca="1" si="5"/>
        <v>#NAME?</v>
      </c>
      <c r="T87" s="92"/>
      <c r="U87" s="92" t="e">
        <f t="shared" ca="1" si="6"/>
        <v>#NAME?</v>
      </c>
      <c r="V87" s="92">
        <f t="shared" si="29"/>
        <v>0</v>
      </c>
      <c r="W87" s="92" t="e">
        <f t="shared" ca="1" si="8"/>
        <v>#NAME?</v>
      </c>
      <c r="X87" s="92" t="e">
        <f t="shared" ca="1" si="30"/>
        <v>#NAME?</v>
      </c>
      <c r="Y87" s="92" t="e">
        <f t="shared" ca="1" si="10"/>
        <v>#NAME?</v>
      </c>
      <c r="Z87" s="21"/>
      <c r="AA87" s="92" t="e">
        <f t="shared" ca="1" si="11"/>
        <v>#NAME?</v>
      </c>
      <c r="AB87" s="92">
        <f t="shared" si="31"/>
        <v>0</v>
      </c>
      <c r="AC87" s="92">
        <f t="shared" si="13"/>
        <v>0</v>
      </c>
      <c r="AD87" s="92">
        <f t="shared" si="32"/>
        <v>0</v>
      </c>
      <c r="AE87" s="92" t="e">
        <f t="shared" ca="1" si="15"/>
        <v>#NAME?</v>
      </c>
      <c r="AF87" s="92" t="e">
        <f t="shared" ca="1" si="23"/>
        <v>#NAME?</v>
      </c>
      <c r="AG87" s="92" t="e">
        <f t="shared" ca="1" si="16"/>
        <v>#NAME?</v>
      </c>
      <c r="AQ87" s="21" t="e">
        <f t="shared" ca="1" si="34"/>
        <v>#NAME?</v>
      </c>
      <c r="AR87" s="12" t="e">
        <f t="shared" ca="1" si="35"/>
        <v>#NAME?</v>
      </c>
    </row>
    <row r="88" spans="1:44" ht="15.75" customHeight="1" x14ac:dyDescent="0.35">
      <c r="A88" s="54">
        <f t="shared" si="0"/>
        <v>2028</v>
      </c>
      <c r="B88" s="54" t="str">
        <f t="shared" si="1"/>
        <v>Q3</v>
      </c>
      <c r="C88" s="99">
        <v>46966</v>
      </c>
      <c r="D88" s="92" t="e">
        <f t="array" aca="1" ref="D88" ca="1">7000*(53%*0.4+47%*0.85)+2800*0.9*_xludf.IFS(B88="Q1",1.3,B88="Q2",0.7,B88="Q3",0.8,B88="Q4",1.2)</f>
        <v>#NAME?</v>
      </c>
      <c r="E88" s="92">
        <v>2036.2427789205999</v>
      </c>
      <c r="F88" s="92">
        <f t="shared" si="25"/>
        <v>0</v>
      </c>
      <c r="G88" s="92">
        <v>300</v>
      </c>
      <c r="H88" s="92"/>
      <c r="I88" s="92"/>
      <c r="J88" s="92" t="e">
        <f t="shared" ca="1" si="26"/>
        <v>#NAME?</v>
      </c>
      <c r="K88" s="92">
        <f t="shared" si="2"/>
        <v>0</v>
      </c>
      <c r="L88" s="92">
        <f>Financiamento!D97</f>
        <v>0</v>
      </c>
      <c r="M88" s="92">
        <f>Financiamento!C97</f>
        <v>0</v>
      </c>
      <c r="N88" s="92"/>
      <c r="O88" s="92"/>
      <c r="Q88" s="92" t="e">
        <f t="shared" ca="1" si="27"/>
        <v>#NAME?</v>
      </c>
      <c r="R88" s="92">
        <f t="shared" si="28"/>
        <v>-300</v>
      </c>
      <c r="S88" s="92" t="e">
        <f t="shared" ca="1" si="5"/>
        <v>#NAME?</v>
      </c>
      <c r="T88" s="92"/>
      <c r="U88" s="92" t="e">
        <f t="shared" ca="1" si="6"/>
        <v>#NAME?</v>
      </c>
      <c r="V88" s="92">
        <f t="shared" si="29"/>
        <v>0</v>
      </c>
      <c r="W88" s="92" t="e">
        <f t="shared" ca="1" si="8"/>
        <v>#NAME?</v>
      </c>
      <c r="X88" s="92" t="e">
        <f t="shared" ca="1" si="30"/>
        <v>#NAME?</v>
      </c>
      <c r="Y88" s="92" t="e">
        <f t="shared" ca="1" si="10"/>
        <v>#NAME?</v>
      </c>
      <c r="Z88" s="21"/>
      <c r="AA88" s="92" t="e">
        <f t="shared" ca="1" si="11"/>
        <v>#NAME?</v>
      </c>
      <c r="AB88" s="92">
        <f t="shared" si="31"/>
        <v>0</v>
      </c>
      <c r="AC88" s="92">
        <f t="shared" si="13"/>
        <v>0</v>
      </c>
      <c r="AD88" s="92">
        <f t="shared" si="32"/>
        <v>0</v>
      </c>
      <c r="AE88" s="92" t="e">
        <f t="shared" ca="1" si="15"/>
        <v>#NAME?</v>
      </c>
      <c r="AF88" s="92" t="e">
        <f t="shared" ca="1" si="23"/>
        <v>#NAME?</v>
      </c>
      <c r="AG88" s="92" t="e">
        <f t="shared" ca="1" si="16"/>
        <v>#NAME?</v>
      </c>
      <c r="AQ88" s="21" t="e">
        <f t="shared" ca="1" si="34"/>
        <v>#NAME?</v>
      </c>
      <c r="AR88" s="12" t="e">
        <f t="shared" ca="1" si="35"/>
        <v>#NAME?</v>
      </c>
    </row>
    <row r="89" spans="1:44" ht="15.75" customHeight="1" x14ac:dyDescent="0.35">
      <c r="A89" s="54">
        <f t="shared" si="0"/>
        <v>2028</v>
      </c>
      <c r="B89" s="54" t="str">
        <f t="shared" si="1"/>
        <v>Q3</v>
      </c>
      <c r="C89" s="99">
        <v>46997</v>
      </c>
      <c r="D89" s="92" t="e">
        <f t="array" aca="1" ref="D89" ca="1">7000*(53%*0.4+47%*0.85)+2800*0.9*_xludf.IFS(B89="Q1",1.3,B89="Q2",0.7,B89="Q3",0.8,B89="Q4",1.2)</f>
        <v>#NAME?</v>
      </c>
      <c r="E89" s="92">
        <v>1950.4669842041646</v>
      </c>
      <c r="F89" s="92">
        <f t="shared" si="25"/>
        <v>0</v>
      </c>
      <c r="G89" s="92">
        <v>300</v>
      </c>
      <c r="H89" s="92"/>
      <c r="I89" s="92"/>
      <c r="J89" s="92" t="e">
        <f t="shared" ca="1" si="26"/>
        <v>#NAME?</v>
      </c>
      <c r="K89" s="92">
        <f t="shared" si="2"/>
        <v>0</v>
      </c>
      <c r="L89" s="92">
        <f>Financiamento!D98</f>
        <v>0</v>
      </c>
      <c r="M89" s="92">
        <f>Financiamento!C98</f>
        <v>0</v>
      </c>
      <c r="N89" s="92"/>
      <c r="O89" s="92"/>
      <c r="Q89" s="92" t="e">
        <f t="shared" ca="1" si="27"/>
        <v>#NAME?</v>
      </c>
      <c r="R89" s="92">
        <f t="shared" si="28"/>
        <v>-300</v>
      </c>
      <c r="S89" s="92" t="e">
        <f t="shared" ca="1" si="5"/>
        <v>#NAME?</v>
      </c>
      <c r="T89" s="92"/>
      <c r="U89" s="92" t="e">
        <f t="shared" ca="1" si="6"/>
        <v>#NAME?</v>
      </c>
      <c r="V89" s="92">
        <f t="shared" si="29"/>
        <v>0</v>
      </c>
      <c r="W89" s="92" t="e">
        <f t="shared" ca="1" si="8"/>
        <v>#NAME?</v>
      </c>
      <c r="X89" s="92" t="e">
        <f t="shared" ca="1" si="30"/>
        <v>#NAME?</v>
      </c>
      <c r="Y89" s="92" t="e">
        <f t="shared" ca="1" si="10"/>
        <v>#NAME?</v>
      </c>
      <c r="Z89" s="21"/>
      <c r="AA89" s="92" t="e">
        <f t="shared" ca="1" si="11"/>
        <v>#NAME?</v>
      </c>
      <c r="AB89" s="92">
        <f t="shared" si="31"/>
        <v>0</v>
      </c>
      <c r="AC89" s="92">
        <f t="shared" si="13"/>
        <v>0</v>
      </c>
      <c r="AD89" s="92">
        <f t="shared" si="32"/>
        <v>0</v>
      </c>
      <c r="AE89" s="92" t="e">
        <f t="shared" ca="1" si="15"/>
        <v>#NAME?</v>
      </c>
      <c r="AF89" s="92" t="e">
        <f t="shared" ca="1" si="23"/>
        <v>#NAME?</v>
      </c>
      <c r="AG89" s="92" t="e">
        <f t="shared" ca="1" si="16"/>
        <v>#NAME?</v>
      </c>
      <c r="AQ89" s="21" t="e">
        <f t="shared" ca="1" si="34"/>
        <v>#NAME?</v>
      </c>
      <c r="AR89" s="12" t="e">
        <f t="shared" ca="1" si="35"/>
        <v>#NAME?</v>
      </c>
    </row>
    <row r="90" spans="1:44" ht="15.75" customHeight="1" x14ac:dyDescent="0.35">
      <c r="A90" s="54">
        <f t="shared" si="0"/>
        <v>2028</v>
      </c>
      <c r="B90" s="54" t="str">
        <f t="shared" si="1"/>
        <v>Q4</v>
      </c>
      <c r="C90" s="99">
        <v>47027</v>
      </c>
      <c r="D90" s="92" t="e">
        <f t="array" aca="1" ref="D90" ca="1">7000*(53%*0.4+47%*0.85)+2800*0.9*_xludf.IFS(B90="Q1",1.3,B90="Q2",0.7,B90="Q3",0.8,B90="Q4",1.2)</f>
        <v>#NAME?</v>
      </c>
      <c r="E90" s="92">
        <v>2082.8600586577927</v>
      </c>
      <c r="F90" s="92">
        <f t="shared" si="25"/>
        <v>0</v>
      </c>
      <c r="G90" s="92">
        <v>300</v>
      </c>
      <c r="H90" s="92"/>
      <c r="I90" s="92"/>
      <c r="J90" s="92" t="e">
        <f t="shared" ca="1" si="26"/>
        <v>#NAME?</v>
      </c>
      <c r="K90" s="92">
        <f t="shared" si="2"/>
        <v>0</v>
      </c>
      <c r="L90" s="92">
        <f>Financiamento!D99</f>
        <v>0</v>
      </c>
      <c r="M90" s="92">
        <f>Financiamento!C99</f>
        <v>0</v>
      </c>
      <c r="N90" s="92"/>
      <c r="O90" s="92"/>
      <c r="Q90" s="92" t="e">
        <f t="shared" ca="1" si="27"/>
        <v>#NAME?</v>
      </c>
      <c r="R90" s="92">
        <f t="shared" si="28"/>
        <v>-300</v>
      </c>
      <c r="S90" s="92" t="e">
        <f t="shared" ca="1" si="5"/>
        <v>#NAME?</v>
      </c>
      <c r="T90" s="92"/>
      <c r="U90" s="92" t="e">
        <f t="shared" ca="1" si="6"/>
        <v>#NAME?</v>
      </c>
      <c r="V90" s="92">
        <f t="shared" si="29"/>
        <v>0</v>
      </c>
      <c r="W90" s="92" t="e">
        <f t="shared" ca="1" si="8"/>
        <v>#NAME?</v>
      </c>
      <c r="X90" s="92" t="e">
        <f t="shared" ca="1" si="30"/>
        <v>#NAME?</v>
      </c>
      <c r="Y90" s="92" t="e">
        <f t="shared" ca="1" si="10"/>
        <v>#NAME?</v>
      </c>
      <c r="Z90" s="21"/>
      <c r="AA90" s="92" t="e">
        <f t="shared" ca="1" si="11"/>
        <v>#NAME?</v>
      </c>
      <c r="AB90" s="92">
        <f t="shared" si="31"/>
        <v>0</v>
      </c>
      <c r="AC90" s="92">
        <f t="shared" si="13"/>
        <v>0</v>
      </c>
      <c r="AD90" s="92">
        <f t="shared" si="32"/>
        <v>0</v>
      </c>
      <c r="AE90" s="92" t="e">
        <f t="shared" ca="1" si="15"/>
        <v>#NAME?</v>
      </c>
      <c r="AF90" s="92" t="e">
        <f t="shared" ca="1" si="23"/>
        <v>#NAME?</v>
      </c>
      <c r="AG90" s="92" t="e">
        <f t="shared" ca="1" si="16"/>
        <v>#NAME?</v>
      </c>
      <c r="AQ90" s="21" t="e">
        <f t="shared" ca="1" si="34"/>
        <v>#NAME?</v>
      </c>
      <c r="AR90" s="12" t="e">
        <f t="shared" ca="1" si="35"/>
        <v>#NAME?</v>
      </c>
    </row>
    <row r="91" spans="1:44" ht="15.75" customHeight="1" x14ac:dyDescent="0.35">
      <c r="A91" s="54">
        <f t="shared" si="0"/>
        <v>2028</v>
      </c>
      <c r="B91" s="54" t="str">
        <f t="shared" si="1"/>
        <v>Q4</v>
      </c>
      <c r="C91" s="99">
        <v>47058</v>
      </c>
      <c r="D91" s="92" t="e">
        <f t="array" aca="1" ref="D91" ca="1">7000*(53%*0.4+47%*0.85)+2800*0.9*_xludf.IFS(B91="Q1",1.3,B91="Q2",0.7,B91="Q3",0.8,B91="Q4",1.2)</f>
        <v>#NAME?</v>
      </c>
      <c r="E91" s="92">
        <v>2246.9528833327131</v>
      </c>
      <c r="F91" s="92">
        <f t="shared" si="25"/>
        <v>2000</v>
      </c>
      <c r="G91" s="92">
        <v>300</v>
      </c>
      <c r="H91" s="92"/>
      <c r="I91" s="92"/>
      <c r="J91" s="92" t="e">
        <f t="shared" ca="1" si="26"/>
        <v>#NAME?</v>
      </c>
      <c r="K91" s="92">
        <f t="shared" si="2"/>
        <v>0</v>
      </c>
      <c r="L91" s="92">
        <f>Financiamento!D100</f>
        <v>0</v>
      </c>
      <c r="M91" s="92">
        <f>Financiamento!C100</f>
        <v>0</v>
      </c>
      <c r="N91" s="92"/>
      <c r="O91" s="92"/>
      <c r="Q91" s="92" t="e">
        <f t="shared" ca="1" si="27"/>
        <v>#NAME?</v>
      </c>
      <c r="R91" s="92">
        <f t="shared" si="28"/>
        <v>-2300</v>
      </c>
      <c r="S91" s="92" t="e">
        <f t="shared" ca="1" si="5"/>
        <v>#NAME?</v>
      </c>
      <c r="T91" s="92"/>
      <c r="U91" s="92" t="e">
        <f t="shared" ca="1" si="6"/>
        <v>#NAME?</v>
      </c>
      <c r="V91" s="92">
        <f t="shared" si="29"/>
        <v>0</v>
      </c>
      <c r="W91" s="92" t="e">
        <f t="shared" ca="1" si="8"/>
        <v>#NAME?</v>
      </c>
      <c r="X91" s="92" t="e">
        <f t="shared" ca="1" si="30"/>
        <v>#NAME?</v>
      </c>
      <c r="Y91" s="92" t="e">
        <f t="shared" ca="1" si="10"/>
        <v>#NAME?</v>
      </c>
      <c r="Z91" s="21"/>
      <c r="AA91" s="92" t="e">
        <f t="shared" ca="1" si="11"/>
        <v>#NAME?</v>
      </c>
      <c r="AB91" s="92">
        <f t="shared" si="31"/>
        <v>0</v>
      </c>
      <c r="AC91" s="92">
        <f t="shared" si="13"/>
        <v>0</v>
      </c>
      <c r="AD91" s="92">
        <f t="shared" si="32"/>
        <v>0</v>
      </c>
      <c r="AE91" s="92" t="e">
        <f t="shared" ca="1" si="15"/>
        <v>#NAME?</v>
      </c>
      <c r="AF91" s="92" t="e">
        <f t="shared" ca="1" si="23"/>
        <v>#NAME?</v>
      </c>
      <c r="AG91" s="92" t="e">
        <f t="shared" ca="1" si="16"/>
        <v>#NAME?</v>
      </c>
      <c r="AQ91" s="21" t="e">
        <f t="shared" ca="1" si="34"/>
        <v>#NAME?</v>
      </c>
      <c r="AR91" s="12" t="e">
        <f t="shared" ca="1" si="35"/>
        <v>#NAME?</v>
      </c>
    </row>
    <row r="92" spans="1:44" ht="15.75" customHeight="1" x14ac:dyDescent="0.35">
      <c r="A92" s="54">
        <f t="shared" si="0"/>
        <v>2028</v>
      </c>
      <c r="B92" s="54" t="str">
        <f t="shared" si="1"/>
        <v>Q4</v>
      </c>
      <c r="C92" s="99">
        <v>47088</v>
      </c>
      <c r="D92" s="92" t="e">
        <f t="array" aca="1" ref="D92" ca="1">7000*(53%*0.4+47%*0.85)+2800*0.9*_xludf.IFS(B92="Q1",1.3,B92="Q2",0.7,B92="Q3",0.8,B92="Q4",1.2)</f>
        <v>#NAME?</v>
      </c>
      <c r="E92" s="92">
        <v>2125.7479560160109</v>
      </c>
      <c r="F92" s="92">
        <f t="shared" si="25"/>
        <v>0</v>
      </c>
      <c r="G92" s="92">
        <v>300</v>
      </c>
      <c r="H92" s="92"/>
      <c r="I92" s="92"/>
      <c r="J92" s="92" t="e">
        <f t="shared" ca="1" si="26"/>
        <v>#NAME?</v>
      </c>
      <c r="K92" s="92">
        <f t="shared" si="2"/>
        <v>0</v>
      </c>
      <c r="L92" s="92">
        <f>Financiamento!D101</f>
        <v>0</v>
      </c>
      <c r="M92" s="92">
        <f>Financiamento!C101</f>
        <v>0</v>
      </c>
      <c r="N92" s="92"/>
      <c r="O92" s="92"/>
      <c r="Q92" s="92" t="e">
        <f t="shared" ca="1" si="27"/>
        <v>#NAME?</v>
      </c>
      <c r="R92" s="92">
        <f t="shared" si="28"/>
        <v>-300</v>
      </c>
      <c r="S92" s="92" t="e">
        <f t="shared" ca="1" si="5"/>
        <v>#NAME?</v>
      </c>
      <c r="T92" s="92"/>
      <c r="U92" s="92" t="e">
        <f t="shared" ca="1" si="6"/>
        <v>#NAME?</v>
      </c>
      <c r="V92" s="92">
        <f t="shared" si="29"/>
        <v>0</v>
      </c>
      <c r="W92" s="92" t="e">
        <f t="shared" ca="1" si="8"/>
        <v>#NAME?</v>
      </c>
      <c r="X92" s="92" t="e">
        <f t="shared" ca="1" si="30"/>
        <v>#NAME?</v>
      </c>
      <c r="Y92" s="92" t="e">
        <f t="shared" ca="1" si="10"/>
        <v>#NAME?</v>
      </c>
      <c r="Z92" s="21"/>
      <c r="AA92" s="92" t="e">
        <f t="shared" ca="1" si="11"/>
        <v>#NAME?</v>
      </c>
      <c r="AB92" s="92">
        <f t="shared" si="31"/>
        <v>0</v>
      </c>
      <c r="AC92" s="92">
        <f t="shared" si="13"/>
        <v>0</v>
      </c>
      <c r="AD92" s="92">
        <f t="shared" si="32"/>
        <v>0</v>
      </c>
      <c r="AE92" s="92" t="e">
        <f t="shared" ca="1" si="15"/>
        <v>#NAME?</v>
      </c>
      <c r="AF92" s="92" t="e">
        <f t="shared" ca="1" si="23"/>
        <v>#NAME?</v>
      </c>
      <c r="AG92" s="92" t="e">
        <f t="shared" ca="1" si="16"/>
        <v>#NAME?</v>
      </c>
      <c r="AQ92" s="21" t="e">
        <f t="shared" ca="1" si="34"/>
        <v>#NAME?</v>
      </c>
      <c r="AR92" s="12" t="e">
        <f t="shared" ca="1" si="35"/>
        <v>#NAME?</v>
      </c>
    </row>
    <row r="93" spans="1:44" ht="15.75" customHeight="1" x14ac:dyDescent="0.35">
      <c r="A93" s="54">
        <f t="shared" si="0"/>
        <v>2029</v>
      </c>
      <c r="B93" s="54" t="str">
        <f t="shared" si="1"/>
        <v>Q1</v>
      </c>
      <c r="C93" s="99">
        <v>47119</v>
      </c>
      <c r="D93" s="92" t="e">
        <f t="array" aca="1" ref="D93" ca="1">7000*(53%*0.4+47%*0.85)+2800*0.9*_xludf.IFS(B93="Q1",1.3,B93="Q2",0.7,B93="Q3",0.8,B93="Q4",1.2)</f>
        <v>#NAME?</v>
      </c>
      <c r="E93" s="92">
        <v>2159.3123974267901</v>
      </c>
      <c r="F93" s="92">
        <f t="shared" si="25"/>
        <v>0</v>
      </c>
      <c r="G93" s="92">
        <v>300</v>
      </c>
      <c r="H93" s="92"/>
      <c r="I93" s="92"/>
      <c r="J93" s="92" t="e">
        <f t="shared" ca="1" si="26"/>
        <v>#NAME?</v>
      </c>
      <c r="K93" s="92">
        <f t="shared" si="2"/>
        <v>0</v>
      </c>
      <c r="L93" s="92">
        <f>Financiamento!D102</f>
        <v>0</v>
      </c>
      <c r="M93" s="92">
        <f>Financiamento!C102</f>
        <v>0</v>
      </c>
      <c r="N93" s="92"/>
      <c r="O93" s="92"/>
      <c r="Q93" s="92" t="e">
        <f t="shared" ca="1" si="27"/>
        <v>#NAME?</v>
      </c>
      <c r="R93" s="92">
        <f t="shared" si="28"/>
        <v>-300</v>
      </c>
      <c r="S93" s="92" t="e">
        <f t="shared" ca="1" si="5"/>
        <v>#NAME?</v>
      </c>
      <c r="T93" s="92"/>
      <c r="U93" s="92" t="e">
        <f t="shared" ca="1" si="6"/>
        <v>#NAME?</v>
      </c>
      <c r="V93" s="92">
        <f t="shared" si="29"/>
        <v>0</v>
      </c>
      <c r="W93" s="92" t="e">
        <f t="shared" ca="1" si="8"/>
        <v>#NAME?</v>
      </c>
      <c r="X93" s="92" t="e">
        <f t="shared" ca="1" si="30"/>
        <v>#NAME?</v>
      </c>
      <c r="Y93" s="92" t="e">
        <f t="shared" ca="1" si="10"/>
        <v>#NAME?</v>
      </c>
      <c r="Z93" s="21"/>
      <c r="AA93" s="92" t="e">
        <f t="shared" ca="1" si="11"/>
        <v>#NAME?</v>
      </c>
      <c r="AB93" s="92">
        <f t="shared" si="31"/>
        <v>0</v>
      </c>
      <c r="AC93" s="92">
        <f t="shared" si="13"/>
        <v>0</v>
      </c>
      <c r="AD93" s="92">
        <f t="shared" si="32"/>
        <v>0</v>
      </c>
      <c r="AE93" s="92" t="e">
        <f t="shared" ca="1" si="15"/>
        <v>#NAME?</v>
      </c>
      <c r="AF93" s="92" t="e">
        <f t="shared" ca="1" si="23"/>
        <v>#NAME?</v>
      </c>
      <c r="AG93" s="92" t="e">
        <f t="shared" ca="1" si="16"/>
        <v>#NAME?</v>
      </c>
      <c r="AQ93" s="21" t="e">
        <f t="shared" ca="1" si="34"/>
        <v>#NAME?</v>
      </c>
      <c r="AR93" s="12" t="e">
        <f t="shared" ca="1" si="35"/>
        <v>#NAME?</v>
      </c>
    </row>
    <row r="94" spans="1:44" ht="15.75" customHeight="1" x14ac:dyDescent="0.35">
      <c r="A94" s="54">
        <f t="shared" si="0"/>
        <v>2029</v>
      </c>
      <c r="B94" s="54" t="str">
        <f t="shared" si="1"/>
        <v>Q1</v>
      </c>
      <c r="C94" s="99">
        <v>47150</v>
      </c>
      <c r="D94" s="92" t="e">
        <f t="array" aca="1" ref="D94" ca="1">7000*(53%*0.4+47%*0.85)+2800*0.9*_xludf.IFS(B94="Q1",1.3,B94="Q2",0.7,B94="Q3",0.8,B94="Q4",1.2)</f>
        <v>#NAME?</v>
      </c>
      <c r="E94" s="92">
        <v>2071.6719115208666</v>
      </c>
      <c r="F94" s="92">
        <f t="shared" si="25"/>
        <v>0</v>
      </c>
      <c r="G94" s="92">
        <v>300</v>
      </c>
      <c r="H94" s="92"/>
      <c r="I94" s="92"/>
      <c r="J94" s="92" t="e">
        <f t="shared" ca="1" si="26"/>
        <v>#NAME?</v>
      </c>
      <c r="K94" s="92">
        <f t="shared" si="2"/>
        <v>0</v>
      </c>
      <c r="L94" s="92">
        <f>Financiamento!D103</f>
        <v>0</v>
      </c>
      <c r="M94" s="92">
        <f>Financiamento!C103</f>
        <v>0</v>
      </c>
      <c r="N94" s="92"/>
      <c r="O94" s="92"/>
      <c r="Q94" s="92" t="e">
        <f t="shared" ca="1" si="27"/>
        <v>#NAME?</v>
      </c>
      <c r="R94" s="92">
        <f t="shared" si="28"/>
        <v>-300</v>
      </c>
      <c r="S94" s="92" t="e">
        <f t="shared" ca="1" si="5"/>
        <v>#NAME?</v>
      </c>
      <c r="T94" s="92"/>
      <c r="U94" s="92" t="e">
        <f t="shared" ca="1" si="6"/>
        <v>#NAME?</v>
      </c>
      <c r="V94" s="92">
        <f t="shared" si="29"/>
        <v>0</v>
      </c>
      <c r="W94" s="92" t="e">
        <f t="shared" ca="1" si="8"/>
        <v>#NAME?</v>
      </c>
      <c r="X94" s="92" t="e">
        <f t="shared" ca="1" si="30"/>
        <v>#NAME?</v>
      </c>
      <c r="Y94" s="92" t="e">
        <f t="shared" ca="1" si="10"/>
        <v>#NAME?</v>
      </c>
      <c r="Z94" s="21"/>
      <c r="AA94" s="92" t="e">
        <f t="shared" ca="1" si="11"/>
        <v>#NAME?</v>
      </c>
      <c r="AB94" s="92">
        <f t="shared" si="31"/>
        <v>0</v>
      </c>
      <c r="AC94" s="92">
        <f t="shared" si="13"/>
        <v>0</v>
      </c>
      <c r="AD94" s="92">
        <f t="shared" si="32"/>
        <v>0</v>
      </c>
      <c r="AE94" s="92" t="e">
        <f t="shared" ca="1" si="15"/>
        <v>#NAME?</v>
      </c>
      <c r="AF94" s="92" t="e">
        <f t="shared" ca="1" si="23"/>
        <v>#NAME?</v>
      </c>
      <c r="AG94" s="92" t="e">
        <f t="shared" ca="1" si="16"/>
        <v>#NAME?</v>
      </c>
      <c r="AQ94" s="21" t="e">
        <f t="shared" ca="1" si="34"/>
        <v>#NAME?</v>
      </c>
      <c r="AR94" s="12" t="e">
        <f t="shared" ca="1" si="35"/>
        <v>#NAME?</v>
      </c>
    </row>
    <row r="95" spans="1:44" ht="15.75" customHeight="1" x14ac:dyDescent="0.35">
      <c r="A95" s="54">
        <f t="shared" si="0"/>
        <v>2029</v>
      </c>
      <c r="B95" s="54" t="str">
        <f t="shared" si="1"/>
        <v>Q1</v>
      </c>
      <c r="C95" s="99">
        <v>47178</v>
      </c>
      <c r="D95" s="92" t="e">
        <f t="array" aca="1" ref="D95" ca="1">7000*(53%*0.4+47%*0.85)+2800*0.9*_xludf.IFS(B95="Q1",1.3,B95="Q2",0.7,B95="Q3",0.8,B95="Q4",1.2)</f>
        <v>#NAME?</v>
      </c>
      <c r="E95" s="92">
        <v>2261.8704128486152</v>
      </c>
      <c r="F95" s="92">
        <f t="shared" si="25"/>
        <v>0</v>
      </c>
      <c r="G95" s="92">
        <v>300</v>
      </c>
      <c r="H95" s="92"/>
      <c r="I95" s="92"/>
      <c r="J95" s="92" t="e">
        <f t="shared" ca="1" si="26"/>
        <v>#NAME?</v>
      </c>
      <c r="K95" s="92">
        <f t="shared" si="2"/>
        <v>0</v>
      </c>
      <c r="L95" s="92">
        <f>Financiamento!D104</f>
        <v>0</v>
      </c>
      <c r="M95" s="92">
        <f>Financiamento!C104</f>
        <v>0</v>
      </c>
      <c r="N95" s="92"/>
      <c r="O95" s="92"/>
      <c r="Q95" s="92" t="e">
        <f t="shared" ca="1" si="27"/>
        <v>#NAME?</v>
      </c>
      <c r="R95" s="92">
        <f t="shared" si="28"/>
        <v>-300</v>
      </c>
      <c r="S95" s="92" t="e">
        <f t="shared" ca="1" si="5"/>
        <v>#NAME?</v>
      </c>
      <c r="T95" s="92"/>
      <c r="U95" s="92" t="e">
        <f t="shared" ca="1" si="6"/>
        <v>#NAME?</v>
      </c>
      <c r="V95" s="92">
        <f t="shared" si="29"/>
        <v>0</v>
      </c>
      <c r="W95" s="92" t="e">
        <f t="shared" ca="1" si="8"/>
        <v>#NAME?</v>
      </c>
      <c r="X95" s="92" t="e">
        <f t="shared" ca="1" si="30"/>
        <v>#NAME?</v>
      </c>
      <c r="Y95" s="92" t="e">
        <f t="shared" ca="1" si="10"/>
        <v>#NAME?</v>
      </c>
      <c r="Z95" s="21"/>
      <c r="AA95" s="92" t="e">
        <f t="shared" ca="1" si="11"/>
        <v>#NAME?</v>
      </c>
      <c r="AB95" s="92">
        <f t="shared" si="31"/>
        <v>0</v>
      </c>
      <c r="AC95" s="92">
        <f t="shared" si="13"/>
        <v>0</v>
      </c>
      <c r="AD95" s="92">
        <f t="shared" si="32"/>
        <v>0</v>
      </c>
      <c r="AE95" s="92" t="e">
        <f t="shared" ca="1" si="15"/>
        <v>#NAME?</v>
      </c>
      <c r="AF95" s="92" t="e">
        <f t="shared" ca="1" si="23"/>
        <v>#NAME?</v>
      </c>
      <c r="AG95" s="92" t="e">
        <f t="shared" ca="1" si="16"/>
        <v>#NAME?</v>
      </c>
      <c r="AQ95" s="21" t="e">
        <f t="shared" ca="1" si="34"/>
        <v>#NAME?</v>
      </c>
      <c r="AR95" s="12" t="e">
        <f t="shared" ca="1" si="35"/>
        <v>#NAME?</v>
      </c>
    </row>
    <row r="96" spans="1:44" ht="15.75" customHeight="1" x14ac:dyDescent="0.35">
      <c r="A96" s="54">
        <f t="shared" si="0"/>
        <v>2029</v>
      </c>
      <c r="B96" s="54" t="str">
        <f t="shared" si="1"/>
        <v>Q2</v>
      </c>
      <c r="C96" s="99">
        <v>47209</v>
      </c>
      <c r="D96" s="92" t="e">
        <f t="array" aca="1" ref="D96" ca="1">7000*(53%*0.4+47%*0.85)+2800*0.9*_xludf.IFS(B96="Q1",1.3,B96="Q2",0.7,B96="Q3",0.8,B96="Q4",1.2)</f>
        <v>#NAME?</v>
      </c>
      <c r="E96" s="92">
        <v>2395.6725738434184</v>
      </c>
      <c r="F96" s="92">
        <f t="shared" si="25"/>
        <v>0</v>
      </c>
      <c r="G96" s="92">
        <v>300</v>
      </c>
      <c r="H96" s="92"/>
      <c r="I96" s="92"/>
      <c r="J96" s="92" t="e">
        <f t="shared" ca="1" si="26"/>
        <v>#NAME?</v>
      </c>
      <c r="K96" s="92">
        <f t="shared" si="2"/>
        <v>0</v>
      </c>
      <c r="L96" s="92">
        <f>Financiamento!D105</f>
        <v>0</v>
      </c>
      <c r="M96" s="92">
        <f>Financiamento!C105</f>
        <v>0</v>
      </c>
      <c r="N96" s="92"/>
      <c r="O96" s="92"/>
      <c r="Q96" s="92" t="e">
        <f t="shared" ca="1" si="27"/>
        <v>#NAME?</v>
      </c>
      <c r="R96" s="92">
        <f t="shared" si="28"/>
        <v>-300</v>
      </c>
      <c r="S96" s="92" t="e">
        <f t="shared" ca="1" si="5"/>
        <v>#NAME?</v>
      </c>
      <c r="T96" s="92"/>
      <c r="U96" s="92" t="e">
        <f t="shared" ca="1" si="6"/>
        <v>#NAME?</v>
      </c>
      <c r="V96" s="92">
        <f t="shared" si="29"/>
        <v>0</v>
      </c>
      <c r="W96" s="92" t="e">
        <f t="shared" ca="1" si="8"/>
        <v>#NAME?</v>
      </c>
      <c r="X96" s="92" t="e">
        <f t="shared" ca="1" si="30"/>
        <v>#NAME?</v>
      </c>
      <c r="Y96" s="92" t="e">
        <f t="shared" ca="1" si="10"/>
        <v>#NAME?</v>
      </c>
      <c r="Z96" s="21"/>
      <c r="AA96" s="92" t="e">
        <f t="shared" ca="1" si="11"/>
        <v>#NAME?</v>
      </c>
      <c r="AB96" s="92">
        <f t="shared" si="31"/>
        <v>0</v>
      </c>
      <c r="AC96" s="92">
        <f t="shared" si="13"/>
        <v>0</v>
      </c>
      <c r="AD96" s="92">
        <f t="shared" si="32"/>
        <v>0</v>
      </c>
      <c r="AE96" s="92" t="e">
        <f t="shared" ca="1" si="15"/>
        <v>#NAME?</v>
      </c>
      <c r="AF96" s="92" t="e">
        <f t="shared" ca="1" si="23"/>
        <v>#NAME?</v>
      </c>
      <c r="AG96" s="92" t="e">
        <f t="shared" ca="1" si="16"/>
        <v>#NAME?</v>
      </c>
      <c r="AQ96" s="21" t="e">
        <f t="shared" ca="1" si="34"/>
        <v>#NAME?</v>
      </c>
      <c r="AR96" s="12" t="e">
        <f t="shared" ca="1" si="35"/>
        <v>#NAME?</v>
      </c>
    </row>
    <row r="97" spans="1:44" ht="15.75" customHeight="1" x14ac:dyDescent="0.35">
      <c r="A97" s="54">
        <f t="shared" si="0"/>
        <v>2029</v>
      </c>
      <c r="B97" s="54" t="str">
        <f t="shared" si="1"/>
        <v>Q2</v>
      </c>
      <c r="C97" s="99">
        <v>47239</v>
      </c>
      <c r="D97" s="92" t="e">
        <f t="array" aca="1" ref="D97" ca="1">7000*(53%*0.4+47%*0.85)+2800*0.9*_xludf.IFS(B97="Q1",1.3,B97="Q2",0.7,B97="Q3",0.8,B97="Q4",1.2)</f>
        <v>#NAME?</v>
      </c>
      <c r="E97" s="92">
        <v>2308.2528448289459</v>
      </c>
      <c r="F97" s="92">
        <f t="shared" si="25"/>
        <v>0</v>
      </c>
      <c r="G97" s="92">
        <v>300</v>
      </c>
      <c r="H97" s="92"/>
      <c r="I97" s="92"/>
      <c r="J97" s="92" t="e">
        <f t="shared" ca="1" si="26"/>
        <v>#NAME?</v>
      </c>
      <c r="K97" s="92">
        <f t="shared" si="2"/>
        <v>0</v>
      </c>
      <c r="L97" s="92">
        <f>Financiamento!D106</f>
        <v>0</v>
      </c>
      <c r="M97" s="92">
        <f>Financiamento!C106</f>
        <v>0</v>
      </c>
      <c r="N97" s="92"/>
      <c r="O97" s="92"/>
      <c r="Q97" s="92" t="e">
        <f t="shared" ca="1" si="27"/>
        <v>#NAME?</v>
      </c>
      <c r="R97" s="92">
        <f t="shared" si="28"/>
        <v>-300</v>
      </c>
      <c r="S97" s="92" t="e">
        <f t="shared" ca="1" si="5"/>
        <v>#NAME?</v>
      </c>
      <c r="T97" s="92"/>
      <c r="U97" s="92" t="e">
        <f t="shared" ca="1" si="6"/>
        <v>#NAME?</v>
      </c>
      <c r="V97" s="92">
        <f t="shared" si="29"/>
        <v>0</v>
      </c>
      <c r="W97" s="92" t="e">
        <f t="shared" ca="1" si="8"/>
        <v>#NAME?</v>
      </c>
      <c r="X97" s="92" t="e">
        <f t="shared" ca="1" si="30"/>
        <v>#NAME?</v>
      </c>
      <c r="Y97" s="92" t="e">
        <f t="shared" ca="1" si="10"/>
        <v>#NAME?</v>
      </c>
      <c r="Z97" s="21"/>
      <c r="AA97" s="92" t="e">
        <f t="shared" ca="1" si="11"/>
        <v>#NAME?</v>
      </c>
      <c r="AB97" s="92">
        <f t="shared" si="31"/>
        <v>0</v>
      </c>
      <c r="AC97" s="92">
        <f t="shared" si="13"/>
        <v>0</v>
      </c>
      <c r="AD97" s="92">
        <f t="shared" si="32"/>
        <v>0</v>
      </c>
      <c r="AE97" s="92" t="e">
        <f t="shared" ca="1" si="15"/>
        <v>#NAME?</v>
      </c>
      <c r="AF97" s="92" t="e">
        <f t="shared" ca="1" si="23"/>
        <v>#NAME?</v>
      </c>
      <c r="AG97" s="92" t="e">
        <f t="shared" ca="1" si="16"/>
        <v>#NAME?</v>
      </c>
      <c r="AQ97" s="21" t="e">
        <f t="shared" ca="1" si="34"/>
        <v>#NAME?</v>
      </c>
      <c r="AR97" s="12" t="e">
        <f t="shared" ca="1" si="35"/>
        <v>#NAME?</v>
      </c>
    </row>
    <row r="98" spans="1:44" ht="15.75" customHeight="1" x14ac:dyDescent="0.35">
      <c r="A98" s="54">
        <f t="shared" si="0"/>
        <v>2029</v>
      </c>
      <c r="B98" s="54" t="str">
        <f t="shared" si="1"/>
        <v>Q2</v>
      </c>
      <c r="C98" s="99">
        <v>47270</v>
      </c>
      <c r="D98" s="92" t="e">
        <f t="array" aca="1" ref="D98" ca="1">7000*(53%*0.4+47%*0.85)+2800*0.9*_xludf.IFS(B98="Q1",1.3,B98="Q2",0.7,B98="Q3",0.8,B98="Q4",1.2)</f>
        <v>#NAME?</v>
      </c>
      <c r="E98" s="92">
        <v>2432.872458530428</v>
      </c>
      <c r="F98" s="92">
        <f t="shared" si="25"/>
        <v>0</v>
      </c>
      <c r="G98" s="92">
        <v>300</v>
      </c>
      <c r="H98" s="92"/>
      <c r="I98" s="92"/>
      <c r="J98" s="92" t="e">
        <f t="shared" ca="1" si="26"/>
        <v>#NAME?</v>
      </c>
      <c r="K98" s="92">
        <f t="shared" si="2"/>
        <v>0</v>
      </c>
      <c r="L98" s="92">
        <f>Financiamento!D107</f>
        <v>0</v>
      </c>
      <c r="M98" s="92">
        <f>Financiamento!C107</f>
        <v>0</v>
      </c>
      <c r="N98" s="92"/>
      <c r="O98" s="92"/>
      <c r="Q98" s="92" t="e">
        <f t="shared" ca="1" si="27"/>
        <v>#NAME?</v>
      </c>
      <c r="R98" s="92">
        <f t="shared" si="28"/>
        <v>-300</v>
      </c>
      <c r="S98" s="92" t="e">
        <f t="shared" ca="1" si="5"/>
        <v>#NAME?</v>
      </c>
      <c r="T98" s="92"/>
      <c r="U98" s="92" t="e">
        <f t="shared" ca="1" si="6"/>
        <v>#NAME?</v>
      </c>
      <c r="V98" s="92">
        <f t="shared" si="29"/>
        <v>0</v>
      </c>
      <c r="W98" s="92" t="e">
        <f t="shared" ca="1" si="8"/>
        <v>#NAME?</v>
      </c>
      <c r="X98" s="92" t="e">
        <f t="shared" ca="1" si="30"/>
        <v>#NAME?</v>
      </c>
      <c r="Y98" s="92" t="e">
        <f t="shared" ca="1" si="10"/>
        <v>#NAME?</v>
      </c>
      <c r="Z98" s="21"/>
      <c r="AA98" s="92" t="e">
        <f t="shared" ca="1" si="11"/>
        <v>#NAME?</v>
      </c>
      <c r="AB98" s="92">
        <f t="shared" si="31"/>
        <v>0</v>
      </c>
      <c r="AC98" s="92">
        <f t="shared" si="13"/>
        <v>0</v>
      </c>
      <c r="AD98" s="92">
        <f t="shared" si="32"/>
        <v>0</v>
      </c>
      <c r="AE98" s="92" t="e">
        <f t="shared" ca="1" si="15"/>
        <v>#NAME?</v>
      </c>
      <c r="AF98" s="92" t="e">
        <f t="shared" ca="1" si="23"/>
        <v>#NAME?</v>
      </c>
      <c r="AG98" s="92" t="e">
        <f t="shared" ca="1" si="16"/>
        <v>#NAME?</v>
      </c>
      <c r="AQ98" s="21" t="e">
        <f t="shared" ca="1" si="34"/>
        <v>#NAME?</v>
      </c>
      <c r="AR98" s="12" t="e">
        <f t="shared" ca="1" si="35"/>
        <v>#NAME?</v>
      </c>
    </row>
    <row r="99" spans="1:44" ht="15.75" customHeight="1" x14ac:dyDescent="0.35">
      <c r="A99" s="54">
        <f t="shared" si="0"/>
        <v>2029</v>
      </c>
      <c r="B99" s="54" t="str">
        <f t="shared" si="1"/>
        <v>Q3</v>
      </c>
      <c r="C99" s="99">
        <v>47300</v>
      </c>
      <c r="D99" s="92" t="e">
        <f t="array" aca="1" ref="D99" ca="1">7000*(53%*0.4+47%*0.85)+2800*0.9*_xludf.IFS(B99="Q1",1.3,B99="Q2",0.7,B99="Q3",0.8,B99="Q4",1.2)</f>
        <v>#NAME?</v>
      </c>
      <c r="E99" s="92">
        <v>2241.2930523923283</v>
      </c>
      <c r="F99" s="92">
        <f t="shared" si="25"/>
        <v>0</v>
      </c>
      <c r="G99" s="92">
        <v>300</v>
      </c>
      <c r="H99" s="92"/>
      <c r="I99" s="92"/>
      <c r="J99" s="92" t="e">
        <f t="shared" ca="1" si="26"/>
        <v>#NAME?</v>
      </c>
      <c r="K99" s="92">
        <f t="shared" si="2"/>
        <v>0</v>
      </c>
      <c r="L99" s="92">
        <f>Financiamento!D108</f>
        <v>0</v>
      </c>
      <c r="M99" s="92">
        <f>Financiamento!C108</f>
        <v>0</v>
      </c>
      <c r="N99" s="92"/>
      <c r="O99" s="92"/>
      <c r="Q99" s="92" t="e">
        <f t="shared" ca="1" si="27"/>
        <v>#NAME?</v>
      </c>
      <c r="R99" s="92">
        <f t="shared" si="28"/>
        <v>-300</v>
      </c>
      <c r="S99" s="92" t="e">
        <f t="shared" ca="1" si="5"/>
        <v>#NAME?</v>
      </c>
      <c r="T99" s="92"/>
      <c r="U99" s="92" t="e">
        <f t="shared" ca="1" si="6"/>
        <v>#NAME?</v>
      </c>
      <c r="V99" s="92">
        <f t="shared" si="29"/>
        <v>0</v>
      </c>
      <c r="W99" s="92" t="e">
        <f t="shared" ca="1" si="8"/>
        <v>#NAME?</v>
      </c>
      <c r="X99" s="92" t="e">
        <f t="shared" ca="1" si="30"/>
        <v>#NAME?</v>
      </c>
      <c r="Y99" s="92" t="e">
        <f t="shared" ca="1" si="10"/>
        <v>#NAME?</v>
      </c>
      <c r="Z99" s="21"/>
      <c r="AA99" s="92" t="e">
        <f t="shared" ca="1" si="11"/>
        <v>#NAME?</v>
      </c>
      <c r="AB99" s="92">
        <f t="shared" si="31"/>
        <v>0</v>
      </c>
      <c r="AC99" s="92">
        <f t="shared" si="13"/>
        <v>0</v>
      </c>
      <c r="AD99" s="92">
        <f t="shared" si="32"/>
        <v>0</v>
      </c>
      <c r="AE99" s="92" t="e">
        <f t="shared" ca="1" si="15"/>
        <v>#NAME?</v>
      </c>
      <c r="AF99" s="92" t="e">
        <f t="shared" ca="1" si="23"/>
        <v>#NAME?</v>
      </c>
      <c r="AG99" s="92" t="e">
        <f t="shared" ca="1" si="16"/>
        <v>#NAME?</v>
      </c>
      <c r="AQ99" s="21" t="e">
        <f t="shared" ca="1" si="34"/>
        <v>#NAME?</v>
      </c>
      <c r="AR99" s="12" t="e">
        <f t="shared" ca="1" si="35"/>
        <v>#NAME?</v>
      </c>
    </row>
    <row r="100" spans="1:44" ht="15.75" customHeight="1" x14ac:dyDescent="0.35">
      <c r="A100" s="54">
        <f t="shared" si="0"/>
        <v>2029</v>
      </c>
      <c r="B100" s="54" t="str">
        <f t="shared" si="1"/>
        <v>Q3</v>
      </c>
      <c r="C100" s="99">
        <v>47331</v>
      </c>
      <c r="D100" s="92" t="e">
        <f t="array" aca="1" ref="D100" ca="1">7000*(53%*0.4+47%*0.85)+2800*0.9*_xludf.IFS(B100="Q1",1.3,B100="Q2",0.7,B100="Q3",0.8,B100="Q4",1.2)</f>
        <v>#NAME?</v>
      </c>
      <c r="E100" s="92">
        <v>2031.1137039107243</v>
      </c>
      <c r="F100" s="92">
        <f t="shared" si="25"/>
        <v>0</v>
      </c>
      <c r="G100" s="92">
        <v>300</v>
      </c>
      <c r="H100" s="92"/>
      <c r="I100" s="92"/>
      <c r="J100" s="92" t="e">
        <f t="shared" ca="1" si="26"/>
        <v>#NAME?</v>
      </c>
      <c r="K100" s="92">
        <f t="shared" si="2"/>
        <v>0</v>
      </c>
      <c r="L100" s="92">
        <f>Financiamento!D109</f>
        <v>0</v>
      </c>
      <c r="M100" s="92">
        <f>Financiamento!C109</f>
        <v>0</v>
      </c>
      <c r="N100" s="92"/>
      <c r="O100" s="92"/>
      <c r="Q100" s="92" t="e">
        <f t="shared" ca="1" si="27"/>
        <v>#NAME?</v>
      </c>
      <c r="R100" s="92">
        <f t="shared" si="28"/>
        <v>-300</v>
      </c>
      <c r="S100" s="92" t="e">
        <f t="shared" ca="1" si="5"/>
        <v>#NAME?</v>
      </c>
      <c r="T100" s="92"/>
      <c r="U100" s="92" t="e">
        <f t="shared" ca="1" si="6"/>
        <v>#NAME?</v>
      </c>
      <c r="V100" s="92">
        <f t="shared" si="29"/>
        <v>0</v>
      </c>
      <c r="W100" s="92" t="e">
        <f t="shared" ca="1" si="8"/>
        <v>#NAME?</v>
      </c>
      <c r="X100" s="92" t="e">
        <f t="shared" ca="1" si="30"/>
        <v>#NAME?</v>
      </c>
      <c r="Y100" s="92" t="e">
        <f t="shared" ca="1" si="10"/>
        <v>#NAME?</v>
      </c>
      <c r="Z100" s="21"/>
      <c r="AA100" s="92" t="e">
        <f t="shared" ca="1" si="11"/>
        <v>#NAME?</v>
      </c>
      <c r="AB100" s="92">
        <f t="shared" si="31"/>
        <v>0</v>
      </c>
      <c r="AC100" s="92">
        <f t="shared" si="13"/>
        <v>0</v>
      </c>
      <c r="AD100" s="92">
        <f t="shared" si="32"/>
        <v>0</v>
      </c>
      <c r="AE100" s="92" t="e">
        <f t="shared" ca="1" si="15"/>
        <v>#NAME?</v>
      </c>
      <c r="AF100" s="92" t="e">
        <f t="shared" ca="1" si="23"/>
        <v>#NAME?</v>
      </c>
      <c r="AG100" s="92" t="e">
        <f t="shared" ca="1" si="16"/>
        <v>#NAME?</v>
      </c>
      <c r="AQ100" s="21" t="e">
        <f t="shared" ca="1" si="34"/>
        <v>#NAME?</v>
      </c>
      <c r="AR100" s="12" t="e">
        <f t="shared" ca="1" si="35"/>
        <v>#NAME?</v>
      </c>
    </row>
    <row r="101" spans="1:44" ht="15.75" customHeight="1" x14ac:dyDescent="0.35">
      <c r="A101" s="54">
        <f t="shared" si="0"/>
        <v>2029</v>
      </c>
      <c r="B101" s="54" t="str">
        <f t="shared" si="1"/>
        <v>Q3</v>
      </c>
      <c r="C101" s="99">
        <v>47362</v>
      </c>
      <c r="D101" s="92" t="e">
        <f t="array" aca="1" ref="D101" ca="1">7000*(53%*0.4+47%*0.85)+2800*0.9*_xludf.IFS(B101="Q1",1.3,B101="Q2",0.7,B101="Q3",0.8,B101="Q4",1.2)</f>
        <v>#NAME?</v>
      </c>
      <c r="E101" s="92">
        <v>1945.5539691306021</v>
      </c>
      <c r="F101" s="92">
        <f t="shared" si="25"/>
        <v>0</v>
      </c>
      <c r="G101" s="92">
        <v>300</v>
      </c>
      <c r="H101" s="92"/>
      <c r="I101" s="92"/>
      <c r="J101" s="92" t="e">
        <f t="shared" ca="1" si="26"/>
        <v>#NAME?</v>
      </c>
      <c r="K101" s="92">
        <f t="shared" si="2"/>
        <v>0</v>
      </c>
      <c r="L101" s="92">
        <f>Financiamento!D110</f>
        <v>0</v>
      </c>
      <c r="M101" s="92">
        <f>Financiamento!C110</f>
        <v>0</v>
      </c>
      <c r="N101" s="92"/>
      <c r="O101" s="92"/>
      <c r="Q101" s="92" t="e">
        <f t="shared" ca="1" si="27"/>
        <v>#NAME?</v>
      </c>
      <c r="R101" s="92">
        <f t="shared" si="28"/>
        <v>-300</v>
      </c>
      <c r="S101" s="92" t="e">
        <f t="shared" ca="1" si="5"/>
        <v>#NAME?</v>
      </c>
      <c r="T101" s="92"/>
      <c r="U101" s="92" t="e">
        <f t="shared" ca="1" si="6"/>
        <v>#NAME?</v>
      </c>
      <c r="V101" s="92">
        <f t="shared" si="29"/>
        <v>0</v>
      </c>
      <c r="W101" s="92" t="e">
        <f t="shared" ca="1" si="8"/>
        <v>#NAME?</v>
      </c>
      <c r="X101" s="92" t="e">
        <f t="shared" ca="1" si="30"/>
        <v>#NAME?</v>
      </c>
      <c r="Y101" s="92" t="e">
        <f t="shared" ca="1" si="10"/>
        <v>#NAME?</v>
      </c>
      <c r="Z101" s="21"/>
      <c r="AA101" s="92" t="e">
        <f t="shared" ca="1" si="11"/>
        <v>#NAME?</v>
      </c>
      <c r="AB101" s="92">
        <f t="shared" si="31"/>
        <v>0</v>
      </c>
      <c r="AC101" s="92">
        <f t="shared" si="13"/>
        <v>0</v>
      </c>
      <c r="AD101" s="92">
        <f t="shared" si="32"/>
        <v>0</v>
      </c>
      <c r="AE101" s="92" t="e">
        <f t="shared" ca="1" si="15"/>
        <v>#NAME?</v>
      </c>
      <c r="AF101" s="92" t="e">
        <f t="shared" ca="1" si="23"/>
        <v>#NAME?</v>
      </c>
      <c r="AG101" s="92" t="e">
        <f t="shared" ca="1" si="16"/>
        <v>#NAME?</v>
      </c>
      <c r="AQ101" s="21" t="e">
        <f t="shared" ca="1" si="34"/>
        <v>#NAME?</v>
      </c>
      <c r="AR101" s="12" t="e">
        <f t="shared" ca="1" si="35"/>
        <v>#NAME?</v>
      </c>
    </row>
    <row r="102" spans="1:44" ht="15.75" customHeight="1" x14ac:dyDescent="0.35">
      <c r="A102" s="54">
        <f t="shared" si="0"/>
        <v>2029</v>
      </c>
      <c r="B102" s="54" t="str">
        <f t="shared" si="1"/>
        <v>Q4</v>
      </c>
      <c r="C102" s="99">
        <v>47392</v>
      </c>
      <c r="D102" s="92" t="e">
        <f t="array" aca="1" ref="D102" ca="1">7000*(53%*0.4+47%*0.85)+2800*0.9*_xludf.IFS(B102="Q1",1.3,B102="Q2",0.7,B102="Q3",0.8,B102="Q4",1.2)</f>
        <v>#NAME?</v>
      </c>
      <c r="E102" s="92">
        <v>2077.6135597694865</v>
      </c>
      <c r="F102" s="92">
        <f t="shared" si="25"/>
        <v>0</v>
      </c>
      <c r="G102" s="92">
        <v>300</v>
      </c>
      <c r="H102" s="92"/>
      <c r="I102" s="92"/>
      <c r="J102" s="92" t="e">
        <f t="shared" ca="1" si="26"/>
        <v>#NAME?</v>
      </c>
      <c r="K102" s="92">
        <f t="shared" si="2"/>
        <v>0</v>
      </c>
      <c r="L102" s="92">
        <f>Financiamento!D111</f>
        <v>0</v>
      </c>
      <c r="M102" s="92">
        <f>Financiamento!C111</f>
        <v>0</v>
      </c>
      <c r="N102" s="92"/>
      <c r="O102" s="92"/>
      <c r="Q102" s="92" t="e">
        <f t="shared" ca="1" si="27"/>
        <v>#NAME?</v>
      </c>
      <c r="R102" s="92">
        <f t="shared" si="28"/>
        <v>-300</v>
      </c>
      <c r="S102" s="92" t="e">
        <f t="shared" ca="1" si="5"/>
        <v>#NAME?</v>
      </c>
      <c r="T102" s="92"/>
      <c r="U102" s="92" t="e">
        <f t="shared" ca="1" si="6"/>
        <v>#NAME?</v>
      </c>
      <c r="V102" s="92">
        <f t="shared" si="29"/>
        <v>0</v>
      </c>
      <c r="W102" s="92" t="e">
        <f t="shared" ca="1" si="8"/>
        <v>#NAME?</v>
      </c>
      <c r="X102" s="92" t="e">
        <f t="shared" ca="1" si="30"/>
        <v>#NAME?</v>
      </c>
      <c r="Y102" s="92" t="e">
        <f t="shared" ca="1" si="10"/>
        <v>#NAME?</v>
      </c>
      <c r="Z102" s="21"/>
      <c r="AA102" s="92" t="e">
        <f t="shared" ca="1" si="11"/>
        <v>#NAME?</v>
      </c>
      <c r="AB102" s="92">
        <f t="shared" si="31"/>
        <v>0</v>
      </c>
      <c r="AC102" s="92">
        <f t="shared" si="13"/>
        <v>0</v>
      </c>
      <c r="AD102" s="92">
        <f t="shared" si="32"/>
        <v>0</v>
      </c>
      <c r="AE102" s="92" t="e">
        <f t="shared" ca="1" si="15"/>
        <v>#NAME?</v>
      </c>
      <c r="AF102" s="92" t="e">
        <f t="shared" ca="1" si="23"/>
        <v>#NAME?</v>
      </c>
      <c r="AG102" s="92" t="e">
        <f t="shared" ca="1" si="16"/>
        <v>#NAME?</v>
      </c>
      <c r="AQ102" s="21" t="e">
        <f t="shared" ca="1" si="34"/>
        <v>#NAME?</v>
      </c>
      <c r="AR102" s="12" t="e">
        <f t="shared" ca="1" si="35"/>
        <v>#NAME?</v>
      </c>
    </row>
    <row r="103" spans="1:44" ht="15.75" customHeight="1" x14ac:dyDescent="0.35">
      <c r="A103" s="54">
        <f t="shared" si="0"/>
        <v>2029</v>
      </c>
      <c r="B103" s="54" t="str">
        <f t="shared" si="1"/>
        <v>Q4</v>
      </c>
      <c r="C103" s="99">
        <v>47423</v>
      </c>
      <c r="D103" s="92" t="e">
        <f t="array" aca="1" ref="D103" ca="1">7000*(53%*0.4+47%*0.85)+2800*0.9*_xludf.IFS(B103="Q1",1.3,B103="Q2",0.7,B103="Q3",0.8,B103="Q4",1.2)</f>
        <v>#NAME?</v>
      </c>
      <c r="E103" s="92">
        <v>2241.2930523923283</v>
      </c>
      <c r="F103" s="92">
        <f t="shared" si="25"/>
        <v>2000</v>
      </c>
      <c r="G103" s="92">
        <v>300</v>
      </c>
      <c r="H103" s="92"/>
      <c r="I103" s="92"/>
      <c r="J103" s="92" t="e">
        <f t="shared" ca="1" si="26"/>
        <v>#NAME?</v>
      </c>
      <c r="K103" s="92">
        <f t="shared" si="2"/>
        <v>0</v>
      </c>
      <c r="L103" s="92">
        <f>Financiamento!D112</f>
        <v>0</v>
      </c>
      <c r="M103" s="92">
        <f>Financiamento!C112</f>
        <v>0</v>
      </c>
      <c r="N103" s="92"/>
      <c r="O103" s="92"/>
      <c r="Q103" s="92" t="e">
        <f t="shared" ca="1" si="27"/>
        <v>#NAME?</v>
      </c>
      <c r="R103" s="92">
        <f t="shared" si="28"/>
        <v>-2300</v>
      </c>
      <c r="S103" s="92" t="e">
        <f t="shared" ca="1" si="5"/>
        <v>#NAME?</v>
      </c>
      <c r="T103" s="92"/>
      <c r="U103" s="92" t="e">
        <f t="shared" ca="1" si="6"/>
        <v>#NAME?</v>
      </c>
      <c r="V103" s="92">
        <f t="shared" si="29"/>
        <v>0</v>
      </c>
      <c r="W103" s="92" t="e">
        <f t="shared" ca="1" si="8"/>
        <v>#NAME?</v>
      </c>
      <c r="X103" s="92" t="e">
        <f t="shared" ca="1" si="30"/>
        <v>#NAME?</v>
      </c>
      <c r="Y103" s="92" t="e">
        <f t="shared" ca="1" si="10"/>
        <v>#NAME?</v>
      </c>
      <c r="Z103" s="21"/>
      <c r="AA103" s="92" t="e">
        <f t="shared" ca="1" si="11"/>
        <v>#NAME?</v>
      </c>
      <c r="AB103" s="92">
        <f t="shared" si="31"/>
        <v>0</v>
      </c>
      <c r="AC103" s="92">
        <f t="shared" si="13"/>
        <v>0</v>
      </c>
      <c r="AD103" s="92">
        <f t="shared" si="32"/>
        <v>0</v>
      </c>
      <c r="AE103" s="92" t="e">
        <f t="shared" ca="1" si="15"/>
        <v>#NAME?</v>
      </c>
      <c r="AF103" s="92" t="e">
        <f t="shared" ca="1" si="23"/>
        <v>#NAME?</v>
      </c>
      <c r="AG103" s="92" t="e">
        <f t="shared" ca="1" si="16"/>
        <v>#NAME?</v>
      </c>
      <c r="AQ103" s="21" t="e">
        <f t="shared" ca="1" si="34"/>
        <v>#NAME?</v>
      </c>
      <c r="AR103" s="12" t="e">
        <f t="shared" ca="1" si="35"/>
        <v>#NAME?</v>
      </c>
    </row>
    <row r="104" spans="1:44" ht="15.75" customHeight="1" x14ac:dyDescent="0.35">
      <c r="A104" s="54">
        <f t="shared" si="0"/>
        <v>2029</v>
      </c>
      <c r="B104" s="54" t="str">
        <f t="shared" si="1"/>
        <v>Q4</v>
      </c>
      <c r="C104" s="99">
        <v>47453</v>
      </c>
      <c r="D104" s="92" t="e">
        <f t="array" aca="1" ref="D104" ca="1">7000*(53%*0.4+47%*0.85)+2800*0.9*_xludf.IFS(B104="Q1",1.3,B104="Q2",0.7,B104="Q3",0.8,B104="Q4",1.2)</f>
        <v>#NAME?</v>
      </c>
      <c r="E104" s="92">
        <v>2120.3934271595476</v>
      </c>
      <c r="F104" s="92">
        <f t="shared" si="25"/>
        <v>0</v>
      </c>
      <c r="G104" s="92">
        <v>300</v>
      </c>
      <c r="H104" s="92"/>
      <c r="I104" s="92"/>
      <c r="J104" s="92" t="e">
        <f t="shared" ca="1" si="26"/>
        <v>#NAME?</v>
      </c>
      <c r="K104" s="92">
        <f t="shared" si="2"/>
        <v>0</v>
      </c>
      <c r="L104" s="92">
        <f>Financiamento!D113</f>
        <v>0</v>
      </c>
      <c r="M104" s="92">
        <f>Financiamento!C113</f>
        <v>0</v>
      </c>
      <c r="N104" s="92"/>
      <c r="O104" s="92"/>
      <c r="Q104" s="92" t="e">
        <f t="shared" ca="1" si="27"/>
        <v>#NAME?</v>
      </c>
      <c r="R104" s="92">
        <f t="shared" si="28"/>
        <v>-300</v>
      </c>
      <c r="S104" s="92" t="e">
        <f t="shared" ca="1" si="5"/>
        <v>#NAME?</v>
      </c>
      <c r="T104" s="92"/>
      <c r="U104" s="92" t="e">
        <f t="shared" ca="1" si="6"/>
        <v>#NAME?</v>
      </c>
      <c r="V104" s="92">
        <f t="shared" si="29"/>
        <v>0</v>
      </c>
      <c r="W104" s="92" t="e">
        <f t="shared" ca="1" si="8"/>
        <v>#NAME?</v>
      </c>
      <c r="X104" s="92" t="e">
        <f t="shared" ca="1" si="30"/>
        <v>#NAME?</v>
      </c>
      <c r="Y104" s="92" t="e">
        <f t="shared" ca="1" si="10"/>
        <v>#NAME?</v>
      </c>
      <c r="Z104" s="21"/>
      <c r="AA104" s="92" t="e">
        <f t="shared" ca="1" si="11"/>
        <v>#NAME?</v>
      </c>
      <c r="AB104" s="92">
        <f t="shared" si="31"/>
        <v>0</v>
      </c>
      <c r="AC104" s="92">
        <f t="shared" si="13"/>
        <v>0</v>
      </c>
      <c r="AD104" s="92">
        <f t="shared" si="32"/>
        <v>0</v>
      </c>
      <c r="AE104" s="92" t="e">
        <f t="shared" ca="1" si="15"/>
        <v>#NAME?</v>
      </c>
      <c r="AF104" s="92" t="e">
        <f t="shared" ca="1" si="23"/>
        <v>#NAME?</v>
      </c>
      <c r="AG104" s="92" t="e">
        <f t="shared" ca="1" si="16"/>
        <v>#NAME?</v>
      </c>
      <c r="AQ104" s="21" t="e">
        <f t="shared" ca="1" si="34"/>
        <v>#NAME?</v>
      </c>
      <c r="AR104" s="12" t="e">
        <f t="shared" ca="1" si="35"/>
        <v>#NAME?</v>
      </c>
    </row>
    <row r="105" spans="1:44" ht="15.75" customHeight="1" x14ac:dyDescent="0.35">
      <c r="A105" s="54">
        <f t="shared" si="0"/>
        <v>2030</v>
      </c>
      <c r="B105" s="54" t="str">
        <f t="shared" si="1"/>
        <v>Q1</v>
      </c>
      <c r="C105" s="99">
        <v>47484</v>
      </c>
      <c r="D105" s="92" t="e">
        <f t="array" aca="1" ref="D105" ca="1">7000*(53%*0.4+47%*0.85)+2800*0.9*_xludf.IFS(B105="Q1",1.3,B105="Q2",0.7,B105="Q3",0.8,B105="Q4",1.2)</f>
        <v>#NAME?</v>
      </c>
      <c r="E105" s="92">
        <v>2153.8733233778557</v>
      </c>
      <c r="F105" s="92">
        <f t="shared" si="25"/>
        <v>0</v>
      </c>
      <c r="G105" s="92">
        <v>300</v>
      </c>
      <c r="H105" s="92"/>
      <c r="I105" s="92"/>
      <c r="J105" s="92" t="e">
        <f t="shared" ca="1" si="26"/>
        <v>#NAME?</v>
      </c>
      <c r="K105" s="92">
        <f t="shared" si="2"/>
        <v>0</v>
      </c>
      <c r="L105" s="92">
        <f>Financiamento!D114</f>
        <v>0</v>
      </c>
      <c r="M105" s="92">
        <f>Financiamento!C114</f>
        <v>0</v>
      </c>
      <c r="N105" s="92"/>
      <c r="O105" s="92"/>
      <c r="Q105" s="92" t="e">
        <f t="shared" ca="1" si="27"/>
        <v>#NAME?</v>
      </c>
      <c r="R105" s="92">
        <f t="shared" si="28"/>
        <v>-300</v>
      </c>
      <c r="S105" s="92" t="e">
        <f t="shared" ca="1" si="5"/>
        <v>#NAME?</v>
      </c>
      <c r="T105" s="92"/>
      <c r="U105" s="92" t="e">
        <f t="shared" ca="1" si="6"/>
        <v>#NAME?</v>
      </c>
      <c r="V105" s="92">
        <f t="shared" si="29"/>
        <v>0</v>
      </c>
      <c r="W105" s="92" t="e">
        <f t="shared" ca="1" si="8"/>
        <v>#NAME?</v>
      </c>
      <c r="X105" s="92" t="e">
        <f t="shared" ca="1" si="30"/>
        <v>#NAME?</v>
      </c>
      <c r="Y105" s="92" t="e">
        <f t="shared" ca="1" si="10"/>
        <v>#NAME?</v>
      </c>
      <c r="Z105" s="21"/>
      <c r="AA105" s="92" t="e">
        <f t="shared" ca="1" si="11"/>
        <v>#NAME?</v>
      </c>
      <c r="AB105" s="92">
        <f t="shared" si="31"/>
        <v>0</v>
      </c>
      <c r="AC105" s="92">
        <f t="shared" si="13"/>
        <v>0</v>
      </c>
      <c r="AD105" s="92">
        <f t="shared" si="32"/>
        <v>0</v>
      </c>
      <c r="AE105" s="92" t="e">
        <f t="shared" ca="1" si="15"/>
        <v>#NAME?</v>
      </c>
      <c r="AF105" s="92" t="e">
        <f t="shared" ca="1" si="23"/>
        <v>#NAME?</v>
      </c>
      <c r="AG105" s="92" t="e">
        <f t="shared" ca="1" si="16"/>
        <v>#NAME?</v>
      </c>
      <c r="AQ105" s="21" t="e">
        <f t="shared" ca="1" si="34"/>
        <v>#NAME?</v>
      </c>
      <c r="AR105" s="12" t="e">
        <f t="shared" ca="1" si="35"/>
        <v>#NAME?</v>
      </c>
    </row>
    <row r="106" spans="1:44" ht="15.75" customHeight="1" x14ac:dyDescent="0.35">
      <c r="A106" s="54">
        <f t="shared" si="0"/>
        <v>2030</v>
      </c>
      <c r="B106" s="54" t="str">
        <f t="shared" si="1"/>
        <v>Q1</v>
      </c>
      <c r="C106" s="99">
        <v>47515</v>
      </c>
      <c r="D106" s="92" t="e">
        <f t="array" aca="1" ref="D106" ca="1">7000*(53%*0.4+47%*0.85)+2800*0.9*_xludf.IFS(B106="Q1",1.3,B106="Q2",0.7,B106="Q3",0.8,B106="Q4",1.2)</f>
        <v>#NAME?</v>
      </c>
      <c r="E106" s="92">
        <v>2066.4535943633832</v>
      </c>
      <c r="F106" s="92">
        <f t="shared" si="25"/>
        <v>0</v>
      </c>
      <c r="G106" s="92">
        <v>300</v>
      </c>
      <c r="H106" s="92"/>
      <c r="I106" s="92"/>
      <c r="J106" s="92" t="e">
        <f t="shared" ca="1" si="26"/>
        <v>#NAME?</v>
      </c>
      <c r="K106" s="92">
        <f t="shared" si="2"/>
        <v>0</v>
      </c>
      <c r="L106" s="92">
        <f>Financiamento!D115</f>
        <v>0</v>
      </c>
      <c r="M106" s="92">
        <f>Financiamento!C115</f>
        <v>0</v>
      </c>
      <c r="N106" s="92"/>
      <c r="O106" s="92"/>
      <c r="Q106" s="92" t="e">
        <f t="shared" ca="1" si="27"/>
        <v>#NAME?</v>
      </c>
      <c r="R106" s="92">
        <f t="shared" si="28"/>
        <v>-300</v>
      </c>
      <c r="S106" s="92" t="e">
        <f t="shared" ca="1" si="5"/>
        <v>#NAME?</v>
      </c>
      <c r="T106" s="92"/>
      <c r="U106" s="92" t="e">
        <f t="shared" ca="1" si="6"/>
        <v>#NAME?</v>
      </c>
      <c r="V106" s="92">
        <f t="shared" si="29"/>
        <v>0</v>
      </c>
      <c r="W106" s="92" t="e">
        <f t="shared" ca="1" si="8"/>
        <v>#NAME?</v>
      </c>
      <c r="X106" s="92" t="e">
        <f t="shared" ca="1" si="30"/>
        <v>#NAME?</v>
      </c>
      <c r="Y106" s="92" t="e">
        <f t="shared" ca="1" si="10"/>
        <v>#NAME?</v>
      </c>
      <c r="Z106" s="21"/>
      <c r="AA106" s="92" t="e">
        <f t="shared" ca="1" si="11"/>
        <v>#NAME?</v>
      </c>
      <c r="AB106" s="92">
        <f t="shared" si="31"/>
        <v>0</v>
      </c>
      <c r="AC106" s="92">
        <f t="shared" si="13"/>
        <v>0</v>
      </c>
      <c r="AD106" s="92">
        <f t="shared" si="32"/>
        <v>0</v>
      </c>
      <c r="AE106" s="92" t="e">
        <f t="shared" ca="1" si="15"/>
        <v>#NAME?</v>
      </c>
      <c r="AF106" s="92" t="e">
        <f t="shared" ca="1" si="23"/>
        <v>#NAME?</v>
      </c>
      <c r="AG106" s="92" t="e">
        <f t="shared" ca="1" si="16"/>
        <v>#NAME?</v>
      </c>
      <c r="AQ106" s="21" t="e">
        <f t="shared" ca="1" si="34"/>
        <v>#NAME?</v>
      </c>
      <c r="AR106" s="12" t="e">
        <f t="shared" ca="1" si="35"/>
        <v>#NAME?</v>
      </c>
    </row>
    <row r="107" spans="1:44" ht="15.75" customHeight="1" x14ac:dyDescent="0.35">
      <c r="A107" s="54">
        <f t="shared" si="0"/>
        <v>2030</v>
      </c>
      <c r="B107" s="54" t="str">
        <f t="shared" si="1"/>
        <v>Q1</v>
      </c>
      <c r="C107" s="99">
        <v>47543</v>
      </c>
      <c r="D107" s="92" t="e">
        <f t="array" aca="1" ref="D107" ca="1">7000*(53%*0.4+47%*0.85)+2800*0.9*_xludf.IFS(B107="Q1",1.3,B107="Q2",0.7,B107="Q3",0.8,B107="Q4",1.2)</f>
        <v>#NAME?</v>
      </c>
      <c r="E107" s="92">
        <v>2256.1730062671327</v>
      </c>
      <c r="F107" s="92">
        <f t="shared" si="25"/>
        <v>0</v>
      </c>
      <c r="G107" s="92">
        <v>300</v>
      </c>
      <c r="H107" s="92"/>
      <c r="I107" s="92"/>
      <c r="J107" s="92" t="e">
        <f t="shared" ca="1" si="26"/>
        <v>#NAME?</v>
      </c>
      <c r="K107" s="92">
        <f t="shared" si="2"/>
        <v>0</v>
      </c>
      <c r="L107" s="92">
        <f>Financiamento!D116</f>
        <v>0</v>
      </c>
      <c r="M107" s="92">
        <f>Financiamento!C116</f>
        <v>0</v>
      </c>
      <c r="N107" s="92"/>
      <c r="O107" s="92"/>
      <c r="Q107" s="92" t="e">
        <f t="shared" ca="1" si="27"/>
        <v>#NAME?</v>
      </c>
      <c r="R107" s="92">
        <f t="shared" si="28"/>
        <v>-300</v>
      </c>
      <c r="S107" s="92" t="e">
        <f t="shared" ca="1" si="5"/>
        <v>#NAME?</v>
      </c>
      <c r="T107" s="92"/>
      <c r="U107" s="92" t="e">
        <f t="shared" ca="1" si="6"/>
        <v>#NAME?</v>
      </c>
      <c r="V107" s="92">
        <f t="shared" si="29"/>
        <v>0</v>
      </c>
      <c r="W107" s="92" t="e">
        <f t="shared" ca="1" si="8"/>
        <v>#NAME?</v>
      </c>
      <c r="X107" s="92" t="e">
        <f t="shared" ca="1" si="30"/>
        <v>#NAME?</v>
      </c>
      <c r="Y107" s="92" t="e">
        <f t="shared" ca="1" si="10"/>
        <v>#NAME?</v>
      </c>
      <c r="Z107" s="21"/>
      <c r="AA107" s="92" t="e">
        <f t="shared" ca="1" si="11"/>
        <v>#NAME?</v>
      </c>
      <c r="AB107" s="92">
        <f t="shared" si="31"/>
        <v>0</v>
      </c>
      <c r="AC107" s="92">
        <f t="shared" si="13"/>
        <v>0</v>
      </c>
      <c r="AD107" s="92">
        <f t="shared" si="32"/>
        <v>0</v>
      </c>
      <c r="AE107" s="92" t="e">
        <f t="shared" ca="1" si="15"/>
        <v>#NAME?</v>
      </c>
      <c r="AF107" s="92" t="e">
        <f t="shared" ca="1" si="23"/>
        <v>#NAME?</v>
      </c>
      <c r="AG107" s="92" t="e">
        <f t="shared" ca="1" si="16"/>
        <v>#NAME?</v>
      </c>
      <c r="AQ107" s="21" t="e">
        <f t="shared" ca="1" si="34"/>
        <v>#NAME?</v>
      </c>
      <c r="AR107" s="12" t="e">
        <f t="shared" ca="1" si="35"/>
        <v>#NAME?</v>
      </c>
    </row>
    <row r="108" spans="1:44" ht="15.75" customHeight="1" x14ac:dyDescent="0.35">
      <c r="A108" s="54">
        <f t="shared" si="0"/>
        <v>2030</v>
      </c>
      <c r="B108" s="54" t="str">
        <f t="shared" si="1"/>
        <v>Q2</v>
      </c>
      <c r="C108" s="99">
        <v>47574</v>
      </c>
      <c r="D108" s="92" t="e">
        <f t="array" aca="1" ref="D108" ca="1">7000*(53%*0.4+47%*0.85)+2800*0.9*_xludf.IFS(B108="Q1",1.3,B108="Q2",0.7,B108="Q3",0.8,B108="Q4",1.2)</f>
        <v>#NAME?</v>
      </c>
      <c r="E108" s="92">
        <v>2150.6606060639783</v>
      </c>
      <c r="F108" s="92">
        <f t="shared" si="25"/>
        <v>0</v>
      </c>
      <c r="G108" s="92">
        <v>300</v>
      </c>
      <c r="H108" s="92"/>
      <c r="I108" s="92"/>
      <c r="J108" s="92" t="e">
        <f t="shared" ca="1" si="26"/>
        <v>#NAME?</v>
      </c>
      <c r="K108" s="92">
        <f t="shared" si="2"/>
        <v>0</v>
      </c>
      <c r="L108" s="92">
        <f>Financiamento!D117</f>
        <v>0</v>
      </c>
      <c r="M108" s="92">
        <f>Financiamento!C117</f>
        <v>0</v>
      </c>
      <c r="N108" s="92"/>
      <c r="O108" s="92"/>
      <c r="Q108" s="92" t="e">
        <f t="shared" ca="1" si="27"/>
        <v>#NAME?</v>
      </c>
      <c r="R108" s="92">
        <f t="shared" si="28"/>
        <v>-300</v>
      </c>
      <c r="S108" s="92" t="e">
        <f t="shared" ca="1" si="5"/>
        <v>#NAME?</v>
      </c>
      <c r="T108" s="92"/>
      <c r="U108" s="92" t="e">
        <f t="shared" ca="1" si="6"/>
        <v>#NAME?</v>
      </c>
      <c r="V108" s="92">
        <f t="shared" si="29"/>
        <v>0</v>
      </c>
      <c r="W108" s="92" t="e">
        <f t="shared" ca="1" si="8"/>
        <v>#NAME?</v>
      </c>
      <c r="X108" s="92" t="e">
        <f t="shared" ca="1" si="30"/>
        <v>#NAME?</v>
      </c>
      <c r="Y108" s="92" t="e">
        <f t="shared" ca="1" si="10"/>
        <v>#NAME?</v>
      </c>
      <c r="Z108" s="21"/>
      <c r="AA108" s="92" t="e">
        <f t="shared" ca="1" si="11"/>
        <v>#NAME?</v>
      </c>
      <c r="AB108" s="92">
        <f t="shared" si="31"/>
        <v>0</v>
      </c>
      <c r="AC108" s="92">
        <f t="shared" si="13"/>
        <v>0</v>
      </c>
      <c r="AD108" s="92">
        <f t="shared" si="32"/>
        <v>0</v>
      </c>
      <c r="AE108" s="92" t="e">
        <f t="shared" ca="1" si="15"/>
        <v>#NAME?</v>
      </c>
      <c r="AF108" s="92" t="e">
        <f t="shared" ca="1" si="23"/>
        <v>#NAME?</v>
      </c>
      <c r="AG108" s="92" t="e">
        <f t="shared" ca="1" si="16"/>
        <v>#NAME?</v>
      </c>
      <c r="AQ108" s="21" t="e">
        <f t="shared" ca="1" si="34"/>
        <v>#NAME?</v>
      </c>
      <c r="AR108" s="12" t="e">
        <f t="shared" ca="1" si="35"/>
        <v>#NAME?</v>
      </c>
    </row>
    <row r="109" spans="1:44" ht="15.75" customHeight="1" x14ac:dyDescent="0.35">
      <c r="A109" s="54">
        <f t="shared" si="0"/>
        <v>2030</v>
      </c>
      <c r="B109" s="54" t="str">
        <f t="shared" si="1"/>
        <v>Q2</v>
      </c>
      <c r="C109" s="99">
        <v>47604</v>
      </c>
      <c r="D109" s="92" t="e">
        <f t="array" aca="1" ref="D109" ca="1">7000*(53%*0.4+47%*0.85)+2800*0.9*_xludf.IFS(B109="Q1",1.3,B109="Q2",0.7,B109="Q3",0.8,B109="Q4",1.2)</f>
        <v>#NAME?</v>
      </c>
      <c r="E109" s="92">
        <v>2072.1815311532582</v>
      </c>
      <c r="F109" s="92">
        <f t="shared" si="25"/>
        <v>0</v>
      </c>
      <c r="G109" s="92">
        <v>300</v>
      </c>
      <c r="H109" s="92"/>
      <c r="I109" s="92"/>
      <c r="J109" s="92" t="e">
        <f t="shared" ca="1" si="26"/>
        <v>#NAME?</v>
      </c>
      <c r="K109" s="92">
        <f t="shared" si="2"/>
        <v>0</v>
      </c>
      <c r="L109" s="92">
        <f>Financiamento!D118</f>
        <v>0</v>
      </c>
      <c r="M109" s="92">
        <f>Financiamento!C118</f>
        <v>0</v>
      </c>
      <c r="N109" s="92"/>
      <c r="O109" s="92"/>
      <c r="Q109" s="92" t="e">
        <f t="shared" ca="1" si="27"/>
        <v>#NAME?</v>
      </c>
      <c r="R109" s="92">
        <f t="shared" si="28"/>
        <v>-300</v>
      </c>
      <c r="S109" s="92" t="e">
        <f t="shared" ca="1" si="5"/>
        <v>#NAME?</v>
      </c>
      <c r="T109" s="92"/>
      <c r="U109" s="92" t="e">
        <f t="shared" ca="1" si="6"/>
        <v>#NAME?</v>
      </c>
      <c r="V109" s="92">
        <f t="shared" si="29"/>
        <v>0</v>
      </c>
      <c r="W109" s="92" t="e">
        <f t="shared" ca="1" si="8"/>
        <v>#NAME?</v>
      </c>
      <c r="X109" s="92" t="e">
        <f t="shared" ca="1" si="30"/>
        <v>#NAME?</v>
      </c>
      <c r="Y109" s="92" t="e">
        <f t="shared" ca="1" si="10"/>
        <v>#NAME?</v>
      </c>
      <c r="Z109" s="21"/>
      <c r="AA109" s="92" t="e">
        <f t="shared" ca="1" si="11"/>
        <v>#NAME?</v>
      </c>
      <c r="AB109" s="92">
        <f t="shared" si="31"/>
        <v>0</v>
      </c>
      <c r="AC109" s="92">
        <f t="shared" si="13"/>
        <v>0</v>
      </c>
      <c r="AD109" s="92">
        <f t="shared" si="32"/>
        <v>0</v>
      </c>
      <c r="AE109" s="92" t="e">
        <f t="shared" ca="1" si="15"/>
        <v>#NAME?</v>
      </c>
      <c r="AF109" s="92" t="e">
        <f t="shared" ca="1" si="23"/>
        <v>#NAME?</v>
      </c>
      <c r="AG109" s="92" t="e">
        <f t="shared" ca="1" si="16"/>
        <v>#NAME?</v>
      </c>
      <c r="AQ109" s="21" t="e">
        <f t="shared" ca="1" si="34"/>
        <v>#NAME?</v>
      </c>
      <c r="AR109" s="12" t="e">
        <f t="shared" ca="1" si="35"/>
        <v>#NAME?</v>
      </c>
    </row>
    <row r="110" spans="1:44" ht="15.75" customHeight="1" x14ac:dyDescent="0.35">
      <c r="A110" s="54">
        <f t="shared" si="0"/>
        <v>2030</v>
      </c>
      <c r="B110" s="54" t="str">
        <f t="shared" si="1"/>
        <v>Q2</v>
      </c>
      <c r="C110" s="99">
        <v>47635</v>
      </c>
      <c r="D110" s="92" t="e">
        <f t="array" aca="1" ref="D110" ca="1">7000*(53%*0.4+47%*0.85)+2800*0.9*_xludf.IFS(B110="Q1",1.3,B110="Q2",0.7,B110="Q3",0.8,B110="Q4",1.2)</f>
        <v>#NAME?</v>
      </c>
      <c r="E110" s="92">
        <v>2184.0559570898163</v>
      </c>
      <c r="F110" s="92">
        <f t="shared" si="25"/>
        <v>0</v>
      </c>
      <c r="G110" s="92">
        <v>300</v>
      </c>
      <c r="H110" s="92"/>
      <c r="I110" s="92"/>
      <c r="J110" s="92" t="e">
        <f t="shared" ca="1" si="26"/>
        <v>#NAME?</v>
      </c>
      <c r="K110" s="92">
        <f t="shared" si="2"/>
        <v>0</v>
      </c>
      <c r="L110" s="92">
        <f>Financiamento!D119</f>
        <v>0</v>
      </c>
      <c r="M110" s="92">
        <f>Financiamento!C119</f>
        <v>0</v>
      </c>
      <c r="N110" s="92"/>
      <c r="O110" s="92"/>
      <c r="Q110" s="92" t="e">
        <f t="shared" ca="1" si="27"/>
        <v>#NAME?</v>
      </c>
      <c r="R110" s="92">
        <f t="shared" si="28"/>
        <v>-300</v>
      </c>
      <c r="S110" s="92" t="e">
        <f t="shared" ca="1" si="5"/>
        <v>#NAME?</v>
      </c>
      <c r="T110" s="92"/>
      <c r="U110" s="92" t="e">
        <f t="shared" ca="1" si="6"/>
        <v>#NAME?</v>
      </c>
      <c r="V110" s="92">
        <f t="shared" si="29"/>
        <v>0</v>
      </c>
      <c r="W110" s="92" t="e">
        <f t="shared" ca="1" si="8"/>
        <v>#NAME?</v>
      </c>
      <c r="X110" s="92" t="e">
        <f t="shared" ca="1" si="30"/>
        <v>#NAME?</v>
      </c>
      <c r="Y110" s="92" t="e">
        <f t="shared" ca="1" si="10"/>
        <v>#NAME?</v>
      </c>
      <c r="Z110" s="21"/>
      <c r="AA110" s="92" t="e">
        <f t="shared" ca="1" si="11"/>
        <v>#NAME?</v>
      </c>
      <c r="AB110" s="92">
        <f t="shared" si="31"/>
        <v>0</v>
      </c>
      <c r="AC110" s="92">
        <f t="shared" si="13"/>
        <v>0</v>
      </c>
      <c r="AD110" s="92">
        <f t="shared" si="32"/>
        <v>0</v>
      </c>
      <c r="AE110" s="92" t="e">
        <f t="shared" ca="1" si="15"/>
        <v>#NAME?</v>
      </c>
      <c r="AF110" s="92" t="e">
        <f t="shared" ca="1" si="23"/>
        <v>#NAME?</v>
      </c>
      <c r="AG110" s="92" t="e">
        <f t="shared" ca="1" si="16"/>
        <v>#NAME?</v>
      </c>
      <c r="AQ110" s="21" t="e">
        <f t="shared" ca="1" si="34"/>
        <v>#NAME?</v>
      </c>
      <c r="AR110" s="12" t="e">
        <f t="shared" ca="1" si="35"/>
        <v>#NAME?</v>
      </c>
    </row>
    <row r="111" spans="1:44" ht="15.75" customHeight="1" x14ac:dyDescent="0.35">
      <c r="A111" s="54">
        <f t="shared" si="0"/>
        <v>2030</v>
      </c>
      <c r="B111" s="54" t="str">
        <f t="shared" si="1"/>
        <v>Q3</v>
      </c>
      <c r="C111" s="99">
        <v>47665</v>
      </c>
      <c r="D111" s="92" t="e">
        <f t="array" aca="1" ref="D111" ca="1">7000*(53%*0.4+47%*0.85)+2800*0.9*_xludf.IFS(B111="Q1",1.3,B111="Q2",0.7,B111="Q3",0.8,B111="Q4",1.2)</f>
        <v>#NAME?</v>
      </c>
      <c r="E111" s="92">
        <v>2012.0698993067494</v>
      </c>
      <c r="F111" s="92">
        <f t="shared" si="25"/>
        <v>0</v>
      </c>
      <c r="G111" s="92">
        <v>300</v>
      </c>
      <c r="H111" s="92"/>
      <c r="I111" s="92"/>
      <c r="J111" s="92" t="e">
        <f t="shared" ca="1" si="26"/>
        <v>#NAME?</v>
      </c>
      <c r="K111" s="92">
        <f t="shared" si="2"/>
        <v>0</v>
      </c>
      <c r="L111" s="92">
        <f>Financiamento!D120</f>
        <v>0</v>
      </c>
      <c r="M111" s="92">
        <f>Financiamento!C120</f>
        <v>0</v>
      </c>
      <c r="N111" s="92"/>
      <c r="O111" s="92"/>
      <c r="Q111" s="92" t="e">
        <f t="shared" ca="1" si="27"/>
        <v>#NAME?</v>
      </c>
      <c r="R111" s="92">
        <f t="shared" si="28"/>
        <v>-300</v>
      </c>
      <c r="S111" s="92" t="e">
        <f t="shared" ca="1" si="5"/>
        <v>#NAME?</v>
      </c>
      <c r="T111" s="92"/>
      <c r="U111" s="92" t="e">
        <f t="shared" ca="1" si="6"/>
        <v>#NAME?</v>
      </c>
      <c r="V111" s="92">
        <f t="shared" si="29"/>
        <v>0</v>
      </c>
      <c r="W111" s="92" t="e">
        <f t="shared" ca="1" si="8"/>
        <v>#NAME?</v>
      </c>
      <c r="X111" s="92" t="e">
        <f t="shared" ca="1" si="30"/>
        <v>#NAME?</v>
      </c>
      <c r="Y111" s="92" t="e">
        <f t="shared" ca="1" si="10"/>
        <v>#NAME?</v>
      </c>
      <c r="Z111" s="21"/>
      <c r="AA111" s="92" t="e">
        <f t="shared" ca="1" si="11"/>
        <v>#NAME?</v>
      </c>
      <c r="AB111" s="92">
        <f t="shared" si="31"/>
        <v>0</v>
      </c>
      <c r="AC111" s="92">
        <f t="shared" si="13"/>
        <v>0</v>
      </c>
      <c r="AD111" s="92">
        <f t="shared" si="32"/>
        <v>0</v>
      </c>
      <c r="AE111" s="92" t="e">
        <f t="shared" ca="1" si="15"/>
        <v>#NAME?</v>
      </c>
      <c r="AF111" s="92" t="e">
        <f t="shared" ca="1" si="23"/>
        <v>#NAME?</v>
      </c>
      <c r="AG111" s="92" t="e">
        <f t="shared" ca="1" si="16"/>
        <v>#NAME?</v>
      </c>
      <c r="AQ111" s="21" t="e">
        <f t="shared" ca="1" si="34"/>
        <v>#NAME?</v>
      </c>
      <c r="AR111" s="12" t="e">
        <f t="shared" ca="1" si="35"/>
        <v>#NAME?</v>
      </c>
    </row>
    <row r="112" spans="1:44" ht="15.75" customHeight="1" x14ac:dyDescent="0.35">
      <c r="A112" s="54">
        <f t="shared" si="0"/>
        <v>2030</v>
      </c>
      <c r="B112" s="54" t="str">
        <f t="shared" si="1"/>
        <v>Q3</v>
      </c>
      <c r="C112" s="99">
        <v>47696</v>
      </c>
      <c r="D112" s="92" t="e">
        <f t="array" aca="1" ref="D112" ca="1">7000*(53%*0.4+47%*0.85)+2800*0.9*_xludf.IFS(B112="Q1",1.3,B112="Q2",0.7,B112="Q3",0.8,B112="Q4",1.2)</f>
        <v>#NAME?</v>
      </c>
      <c r="E112" s="92">
        <v>1823.3861660107639</v>
      </c>
      <c r="F112" s="92">
        <f t="shared" si="25"/>
        <v>0</v>
      </c>
      <c r="G112" s="92">
        <v>300</v>
      </c>
      <c r="H112" s="92"/>
      <c r="I112" s="92"/>
      <c r="J112" s="92" t="e">
        <f t="shared" ca="1" si="26"/>
        <v>#NAME?</v>
      </c>
      <c r="K112" s="92">
        <f t="shared" si="2"/>
        <v>0</v>
      </c>
      <c r="L112" s="92">
        <f>Financiamento!D121</f>
        <v>0</v>
      </c>
      <c r="M112" s="92">
        <f>Financiamento!C121</f>
        <v>0</v>
      </c>
      <c r="N112" s="92"/>
      <c r="O112" s="92"/>
      <c r="Q112" s="92" t="e">
        <f t="shared" ca="1" si="27"/>
        <v>#NAME?</v>
      </c>
      <c r="R112" s="92">
        <f t="shared" si="28"/>
        <v>-300</v>
      </c>
      <c r="S112" s="92" t="e">
        <f t="shared" ca="1" si="5"/>
        <v>#NAME?</v>
      </c>
      <c r="T112" s="92"/>
      <c r="U112" s="92" t="e">
        <f t="shared" ca="1" si="6"/>
        <v>#NAME?</v>
      </c>
      <c r="V112" s="92">
        <f t="shared" si="29"/>
        <v>0</v>
      </c>
      <c r="W112" s="92" t="e">
        <f t="shared" ca="1" si="8"/>
        <v>#NAME?</v>
      </c>
      <c r="X112" s="92" t="e">
        <f t="shared" ca="1" si="30"/>
        <v>#NAME?</v>
      </c>
      <c r="Y112" s="92" t="e">
        <f t="shared" ca="1" si="10"/>
        <v>#NAME?</v>
      </c>
      <c r="Z112" s="21"/>
      <c r="AA112" s="92" t="e">
        <f t="shared" ca="1" si="11"/>
        <v>#NAME?</v>
      </c>
      <c r="AB112" s="92">
        <f t="shared" si="31"/>
        <v>0</v>
      </c>
      <c r="AC112" s="92">
        <f t="shared" si="13"/>
        <v>0</v>
      </c>
      <c r="AD112" s="92">
        <f t="shared" si="32"/>
        <v>0</v>
      </c>
      <c r="AE112" s="92" t="e">
        <f t="shared" ca="1" si="15"/>
        <v>#NAME?</v>
      </c>
      <c r="AF112" s="92" t="e">
        <f t="shared" ca="1" si="23"/>
        <v>#NAME?</v>
      </c>
      <c r="AG112" s="92" t="e">
        <f t="shared" ca="1" si="16"/>
        <v>#NAME?</v>
      </c>
      <c r="AQ112" s="21" t="e">
        <f t="shared" ca="1" si="34"/>
        <v>#NAME?</v>
      </c>
      <c r="AR112" s="12" t="e">
        <f t="shared" ca="1" si="35"/>
        <v>#NAME?</v>
      </c>
    </row>
    <row r="113" spans="1:44" ht="15.75" customHeight="1" x14ac:dyDescent="0.35">
      <c r="A113" s="54">
        <f t="shared" si="0"/>
        <v>2030</v>
      </c>
      <c r="B113" s="54" t="str">
        <f t="shared" si="1"/>
        <v>Q3</v>
      </c>
      <c r="C113" s="99">
        <v>47727</v>
      </c>
      <c r="D113" s="92" t="e">
        <f t="array" aca="1" ref="D113" ca="1">7000*(53%*0.4+47%*0.85)+2800*0.9*_xludf.IFS(B113="Q1",1.3,B113="Q2",0.7,B113="Q3",0.8,B113="Q4",1.2)</f>
        <v>#NAME?</v>
      </c>
      <c r="E113" s="92">
        <v>1746.5768586513361</v>
      </c>
      <c r="F113" s="92">
        <f t="shared" si="25"/>
        <v>0</v>
      </c>
      <c r="G113" s="92">
        <v>300</v>
      </c>
      <c r="H113" s="92"/>
      <c r="I113" s="92"/>
      <c r="J113" s="92" t="e">
        <f t="shared" ca="1" si="26"/>
        <v>#NAME?</v>
      </c>
      <c r="K113" s="92">
        <f t="shared" si="2"/>
        <v>0</v>
      </c>
      <c r="L113" s="92">
        <f>Financiamento!D122</f>
        <v>0</v>
      </c>
      <c r="M113" s="92">
        <f>Financiamento!C122</f>
        <v>0</v>
      </c>
      <c r="N113" s="92"/>
      <c r="O113" s="92"/>
      <c r="Q113" s="92" t="e">
        <f t="shared" ca="1" si="27"/>
        <v>#NAME?</v>
      </c>
      <c r="R113" s="92">
        <f t="shared" si="28"/>
        <v>-300</v>
      </c>
      <c r="S113" s="92" t="e">
        <f t="shared" ca="1" si="5"/>
        <v>#NAME?</v>
      </c>
      <c r="T113" s="92"/>
      <c r="U113" s="92" t="e">
        <f t="shared" ca="1" si="6"/>
        <v>#NAME?</v>
      </c>
      <c r="V113" s="92">
        <f t="shared" si="29"/>
        <v>0</v>
      </c>
      <c r="W113" s="92" t="e">
        <f t="shared" ca="1" si="8"/>
        <v>#NAME?</v>
      </c>
      <c r="X113" s="92" t="e">
        <f t="shared" ca="1" si="30"/>
        <v>#NAME?</v>
      </c>
      <c r="Y113" s="92" t="e">
        <f t="shared" ca="1" si="10"/>
        <v>#NAME?</v>
      </c>
      <c r="Z113" s="21"/>
      <c r="AA113" s="92" t="e">
        <f t="shared" ca="1" si="11"/>
        <v>#NAME?</v>
      </c>
      <c r="AB113" s="92">
        <f t="shared" si="31"/>
        <v>0</v>
      </c>
      <c r="AC113" s="92">
        <f t="shared" si="13"/>
        <v>0</v>
      </c>
      <c r="AD113" s="92">
        <f t="shared" si="32"/>
        <v>0</v>
      </c>
      <c r="AE113" s="92" t="e">
        <f t="shared" ca="1" si="15"/>
        <v>#NAME?</v>
      </c>
      <c r="AF113" s="92" t="e">
        <f t="shared" ca="1" si="23"/>
        <v>#NAME?</v>
      </c>
      <c r="AG113" s="92" t="e">
        <f t="shared" ca="1" si="16"/>
        <v>#NAME?</v>
      </c>
      <c r="AQ113" s="21" t="e">
        <f t="shared" ca="1" si="34"/>
        <v>#NAME?</v>
      </c>
      <c r="AR113" s="12" t="e">
        <f t="shared" ca="1" si="35"/>
        <v>#NAME?</v>
      </c>
    </row>
    <row r="114" spans="1:44" ht="15.75" customHeight="1" x14ac:dyDescent="0.35">
      <c r="A114" s="54">
        <f t="shared" si="0"/>
        <v>2030</v>
      </c>
      <c r="B114" s="54" t="str">
        <f t="shared" si="1"/>
        <v>Q4</v>
      </c>
      <c r="C114" s="99">
        <v>47757</v>
      </c>
      <c r="D114" s="92" t="e">
        <f t="array" aca="1" ref="D114" ca="1">7000*(53%*0.4+47%*0.85)+2800*0.9*_xludf.IFS(B114="Q1",1.3,B114="Q2",0.7,B114="Q3",0.8,B114="Q4",1.2)</f>
        <v>#NAME?</v>
      </c>
      <c r="E114" s="92">
        <v>1865.130354793062</v>
      </c>
      <c r="F114" s="92">
        <f t="shared" si="25"/>
        <v>0</v>
      </c>
      <c r="G114" s="92">
        <v>300</v>
      </c>
      <c r="H114" s="92"/>
      <c r="I114" s="92"/>
      <c r="J114" s="92" t="e">
        <f t="shared" ca="1" si="26"/>
        <v>#NAME?</v>
      </c>
      <c r="K114" s="92">
        <f t="shared" si="2"/>
        <v>0</v>
      </c>
      <c r="L114" s="92">
        <f>Financiamento!D123</f>
        <v>0</v>
      </c>
      <c r="M114" s="92">
        <f>Financiamento!C123</f>
        <v>0</v>
      </c>
      <c r="N114" s="92"/>
      <c r="O114" s="92"/>
      <c r="Q114" s="92" t="e">
        <f t="shared" ca="1" si="27"/>
        <v>#NAME?</v>
      </c>
      <c r="R114" s="92">
        <f t="shared" si="28"/>
        <v>-300</v>
      </c>
      <c r="S114" s="92" t="e">
        <f t="shared" ca="1" si="5"/>
        <v>#NAME?</v>
      </c>
      <c r="T114" s="92"/>
      <c r="U114" s="92" t="e">
        <f t="shared" ca="1" si="6"/>
        <v>#NAME?</v>
      </c>
      <c r="V114" s="92">
        <f t="shared" si="29"/>
        <v>0</v>
      </c>
      <c r="W114" s="92" t="e">
        <f t="shared" ca="1" si="8"/>
        <v>#NAME?</v>
      </c>
      <c r="X114" s="92" t="e">
        <f t="shared" ca="1" si="30"/>
        <v>#NAME?</v>
      </c>
      <c r="Y114" s="92" t="e">
        <f t="shared" ca="1" si="10"/>
        <v>#NAME?</v>
      </c>
      <c r="Z114" s="21"/>
      <c r="AA114" s="92" t="e">
        <f t="shared" ca="1" si="11"/>
        <v>#NAME?</v>
      </c>
      <c r="AB114" s="92">
        <f t="shared" si="31"/>
        <v>0</v>
      </c>
      <c r="AC114" s="92">
        <f t="shared" si="13"/>
        <v>0</v>
      </c>
      <c r="AD114" s="92">
        <f t="shared" si="32"/>
        <v>0</v>
      </c>
      <c r="AE114" s="92" t="e">
        <f t="shared" ca="1" si="15"/>
        <v>#NAME?</v>
      </c>
      <c r="AF114" s="92" t="e">
        <f t="shared" ca="1" si="23"/>
        <v>#NAME?</v>
      </c>
      <c r="AG114" s="92" t="e">
        <f t="shared" ca="1" si="16"/>
        <v>#NAME?</v>
      </c>
      <c r="AQ114" s="21" t="e">
        <f t="shared" ca="1" si="34"/>
        <v>#NAME?</v>
      </c>
      <c r="AR114" s="12" t="e">
        <f t="shared" ca="1" si="35"/>
        <v>#NAME?</v>
      </c>
    </row>
    <row r="115" spans="1:44" ht="15.75" customHeight="1" x14ac:dyDescent="0.35">
      <c r="A115" s="54">
        <f t="shared" si="0"/>
        <v>2030</v>
      </c>
      <c r="B115" s="54" t="str">
        <f t="shared" si="1"/>
        <v>Q4</v>
      </c>
      <c r="C115" s="99">
        <v>47788</v>
      </c>
      <c r="D115" s="92" t="e">
        <f t="array" aca="1" ref="D115" ca="1">7000*(53%*0.4+47%*0.85)+2800*0.9*_xludf.IFS(B115="Q1",1.3,B115="Q2",0.7,B115="Q3",0.8,B115="Q4",1.2)</f>
        <v>#NAME?</v>
      </c>
      <c r="E115" s="92">
        <v>2012.0698993067494</v>
      </c>
      <c r="F115" s="92">
        <f t="shared" si="25"/>
        <v>2000</v>
      </c>
      <c r="G115" s="92">
        <v>300</v>
      </c>
      <c r="H115" s="92"/>
      <c r="I115" s="92"/>
      <c r="J115" s="92" t="e">
        <f t="shared" ca="1" si="26"/>
        <v>#NAME?</v>
      </c>
      <c r="K115" s="92">
        <f t="shared" si="2"/>
        <v>0</v>
      </c>
      <c r="L115" s="92">
        <f>Financiamento!D124</f>
        <v>0</v>
      </c>
      <c r="M115" s="92">
        <f>Financiamento!C124</f>
        <v>0</v>
      </c>
      <c r="N115" s="92"/>
      <c r="O115" s="92"/>
      <c r="Q115" s="92" t="e">
        <f t="shared" ca="1" si="27"/>
        <v>#NAME?</v>
      </c>
      <c r="R115" s="92">
        <f t="shared" si="28"/>
        <v>-2300</v>
      </c>
      <c r="S115" s="92" t="e">
        <f t="shared" ca="1" si="5"/>
        <v>#NAME?</v>
      </c>
      <c r="T115" s="92"/>
      <c r="U115" s="92" t="e">
        <f t="shared" ca="1" si="6"/>
        <v>#NAME?</v>
      </c>
      <c r="V115" s="92">
        <f t="shared" si="29"/>
        <v>0</v>
      </c>
      <c r="W115" s="92" t="e">
        <f t="shared" ca="1" si="8"/>
        <v>#NAME?</v>
      </c>
      <c r="X115" s="92" t="e">
        <f t="shared" ca="1" si="30"/>
        <v>#NAME?</v>
      </c>
      <c r="Y115" s="92" t="e">
        <f t="shared" ca="1" si="10"/>
        <v>#NAME?</v>
      </c>
      <c r="Z115" s="21"/>
      <c r="AA115" s="92" t="e">
        <f t="shared" ca="1" si="11"/>
        <v>#NAME?</v>
      </c>
      <c r="AB115" s="92">
        <f t="shared" si="31"/>
        <v>0</v>
      </c>
      <c r="AC115" s="92">
        <f t="shared" si="13"/>
        <v>0</v>
      </c>
      <c r="AD115" s="92">
        <f t="shared" si="32"/>
        <v>0</v>
      </c>
      <c r="AE115" s="92" t="e">
        <f t="shared" ca="1" si="15"/>
        <v>#NAME?</v>
      </c>
      <c r="AF115" s="92" t="e">
        <f t="shared" ca="1" si="23"/>
        <v>#NAME?</v>
      </c>
      <c r="AG115" s="92" t="e">
        <f t="shared" ca="1" si="16"/>
        <v>#NAME?</v>
      </c>
      <c r="AQ115" s="21" t="e">
        <f t="shared" ca="1" si="34"/>
        <v>#NAME?</v>
      </c>
      <c r="AR115" s="12" t="e">
        <f t="shared" ca="1" si="35"/>
        <v>#NAME?</v>
      </c>
    </row>
    <row r="116" spans="1:44" ht="15.75" customHeight="1" x14ac:dyDescent="0.35">
      <c r="A116" s="54">
        <f t="shared" si="0"/>
        <v>2030</v>
      </c>
      <c r="B116" s="54" t="str">
        <f t="shared" si="1"/>
        <v>Q4</v>
      </c>
      <c r="C116" s="99">
        <v>47818</v>
      </c>
      <c r="D116" s="92" t="e">
        <f t="array" aca="1" ref="D116" ca="1">7000*(53%*0.4+47%*0.85)+2800*0.9*_xludf.IFS(B116="Q1",1.3,B116="Q2",0.7,B116="Q3",0.8,B116="Q4",1.2)</f>
        <v>#NAME?</v>
      </c>
      <c r="E116" s="92">
        <v>1903.5350084727756</v>
      </c>
      <c r="F116" s="92">
        <f t="shared" si="25"/>
        <v>0</v>
      </c>
      <c r="G116" s="92">
        <v>300</v>
      </c>
      <c r="H116" s="92"/>
      <c r="I116" s="92"/>
      <c r="J116" s="92" t="e">
        <f t="shared" ca="1" si="26"/>
        <v>#NAME?</v>
      </c>
      <c r="K116" s="92">
        <f t="shared" si="2"/>
        <v>0</v>
      </c>
      <c r="L116" s="92">
        <f>Financiamento!D125</f>
        <v>0</v>
      </c>
      <c r="M116" s="92">
        <f>Financiamento!C125</f>
        <v>0</v>
      </c>
      <c r="N116" s="92"/>
      <c r="O116" s="92"/>
      <c r="Q116" s="92" t="e">
        <f t="shared" ca="1" si="27"/>
        <v>#NAME?</v>
      </c>
      <c r="R116" s="92">
        <f t="shared" si="28"/>
        <v>-300</v>
      </c>
      <c r="S116" s="92" t="e">
        <f t="shared" ca="1" si="5"/>
        <v>#NAME?</v>
      </c>
      <c r="T116" s="92"/>
      <c r="U116" s="92" t="e">
        <f t="shared" ca="1" si="6"/>
        <v>#NAME?</v>
      </c>
      <c r="V116" s="92">
        <f t="shared" si="29"/>
        <v>0</v>
      </c>
      <c r="W116" s="92" t="e">
        <f t="shared" ca="1" si="8"/>
        <v>#NAME?</v>
      </c>
      <c r="X116" s="92" t="e">
        <f t="shared" ca="1" si="30"/>
        <v>#NAME?</v>
      </c>
      <c r="Y116" s="92" t="e">
        <f t="shared" ca="1" si="10"/>
        <v>#NAME?</v>
      </c>
      <c r="Z116" s="21"/>
      <c r="AA116" s="92" t="e">
        <f t="shared" ca="1" si="11"/>
        <v>#NAME?</v>
      </c>
      <c r="AB116" s="92">
        <f t="shared" si="31"/>
        <v>0</v>
      </c>
      <c r="AC116" s="92">
        <f t="shared" si="13"/>
        <v>0</v>
      </c>
      <c r="AD116" s="92">
        <f t="shared" si="32"/>
        <v>0</v>
      </c>
      <c r="AE116" s="92" t="e">
        <f t="shared" ca="1" si="15"/>
        <v>#NAME?</v>
      </c>
      <c r="AF116" s="92" t="e">
        <f t="shared" ca="1" si="23"/>
        <v>#NAME?</v>
      </c>
      <c r="AG116" s="92" t="e">
        <f t="shared" ca="1" si="16"/>
        <v>#NAME?</v>
      </c>
      <c r="AQ116" s="21" t="e">
        <f t="shared" ca="1" si="34"/>
        <v>#NAME?</v>
      </c>
      <c r="AR116" s="12" t="e">
        <f t="shared" ca="1" si="35"/>
        <v>#NAME?</v>
      </c>
    </row>
    <row r="117" spans="1:44" ht="15.75" customHeight="1" x14ac:dyDescent="0.35">
      <c r="A117" s="54">
        <f t="shared" si="0"/>
        <v>2031</v>
      </c>
      <c r="B117" s="54" t="str">
        <f t="shared" si="1"/>
        <v>Q1</v>
      </c>
      <c r="C117" s="99">
        <v>47849</v>
      </c>
      <c r="D117" s="92" t="e">
        <f t="array" aca="1" ref="D117" ca="1">7000*(53%*0.4+47%*0.85)+2800*0.9*_xludf.IFS(B117="Q1",1.3,B117="Q2",0.7,B117="Q3",0.8,B117="Q4",1.2)</f>
        <v>#NAME?</v>
      </c>
      <c r="E117" s="92">
        <v>1933.5908243960298</v>
      </c>
      <c r="F117" s="92">
        <f t="shared" si="25"/>
        <v>0</v>
      </c>
      <c r="G117" s="92">
        <v>300</v>
      </c>
      <c r="H117" s="92"/>
      <c r="I117" s="92"/>
      <c r="J117" s="92" t="e">
        <f t="shared" ca="1" si="26"/>
        <v>#NAME?</v>
      </c>
      <c r="K117" s="92">
        <f t="shared" si="2"/>
        <v>0</v>
      </c>
      <c r="L117" s="92">
        <f>Financiamento!D126</f>
        <v>0</v>
      </c>
      <c r="M117" s="92">
        <f>Financiamento!C126</f>
        <v>0</v>
      </c>
      <c r="N117" s="92"/>
      <c r="O117" s="92"/>
      <c r="Q117" s="92" t="e">
        <f t="shared" ca="1" si="27"/>
        <v>#NAME?</v>
      </c>
      <c r="R117" s="92">
        <f t="shared" si="28"/>
        <v>-300</v>
      </c>
      <c r="S117" s="92" t="e">
        <f t="shared" ca="1" si="5"/>
        <v>#NAME?</v>
      </c>
      <c r="T117" s="92"/>
      <c r="U117" s="92" t="e">
        <f t="shared" ca="1" si="6"/>
        <v>#NAME?</v>
      </c>
      <c r="V117" s="92">
        <f t="shared" si="29"/>
        <v>0</v>
      </c>
      <c r="W117" s="92" t="e">
        <f t="shared" ca="1" si="8"/>
        <v>#NAME?</v>
      </c>
      <c r="X117" s="92" t="e">
        <f t="shared" ca="1" si="30"/>
        <v>#NAME?</v>
      </c>
      <c r="Y117" s="92" t="e">
        <f t="shared" ca="1" si="10"/>
        <v>#NAME?</v>
      </c>
      <c r="Z117" s="21"/>
      <c r="AA117" s="92" t="e">
        <f t="shared" ca="1" si="11"/>
        <v>#NAME?</v>
      </c>
      <c r="AB117" s="92">
        <f t="shared" si="31"/>
        <v>0</v>
      </c>
      <c r="AC117" s="92">
        <f t="shared" si="13"/>
        <v>0</v>
      </c>
      <c r="AD117" s="92">
        <f t="shared" si="32"/>
        <v>0</v>
      </c>
      <c r="AE117" s="92" t="e">
        <f t="shared" ca="1" si="15"/>
        <v>#NAME?</v>
      </c>
      <c r="AF117" s="92" t="e">
        <f t="shared" ca="1" si="23"/>
        <v>#NAME?</v>
      </c>
      <c r="AG117" s="92" t="e">
        <f t="shared" ca="1" si="16"/>
        <v>#NAME?</v>
      </c>
      <c r="AQ117" s="21" t="e">
        <f t="shared" ca="1" si="34"/>
        <v>#NAME?</v>
      </c>
      <c r="AR117" s="12" t="e">
        <f t="shared" ca="1" si="35"/>
        <v>#NAME?</v>
      </c>
    </row>
    <row r="118" spans="1:44" ht="15.75" customHeight="1" x14ac:dyDescent="0.35">
      <c r="A118" s="54">
        <f t="shared" si="0"/>
        <v>2031</v>
      </c>
      <c r="B118" s="54" t="str">
        <f t="shared" si="1"/>
        <v>Q1</v>
      </c>
      <c r="C118" s="99">
        <v>47880</v>
      </c>
      <c r="D118" s="92" t="e">
        <f t="array" aca="1" ref="D118" ca="1">7000*(53%*0.4+47%*0.85)+2800*0.9*_xludf.IFS(B118="Q1",1.3,B118="Q2",0.7,B118="Q3",0.8,B118="Q4",1.2)</f>
        <v>#NAME?</v>
      </c>
      <c r="E118" s="92">
        <v>1855.1117494853099</v>
      </c>
      <c r="F118" s="92">
        <f t="shared" si="25"/>
        <v>0</v>
      </c>
      <c r="G118" s="92">
        <v>300</v>
      </c>
      <c r="H118" s="92"/>
      <c r="I118" s="92"/>
      <c r="J118" s="92" t="e">
        <f t="shared" ca="1" si="26"/>
        <v>#NAME?</v>
      </c>
      <c r="K118" s="92">
        <f t="shared" si="2"/>
        <v>0</v>
      </c>
      <c r="L118" s="92">
        <f>Financiamento!D127</f>
        <v>0</v>
      </c>
      <c r="M118" s="92">
        <f>Financiamento!C127</f>
        <v>0</v>
      </c>
      <c r="N118" s="92"/>
      <c r="O118" s="92"/>
      <c r="Q118" s="92" t="e">
        <f t="shared" ca="1" si="27"/>
        <v>#NAME?</v>
      </c>
      <c r="R118" s="92">
        <f t="shared" si="28"/>
        <v>-300</v>
      </c>
      <c r="S118" s="92" t="e">
        <f t="shared" ca="1" si="5"/>
        <v>#NAME?</v>
      </c>
      <c r="T118" s="92"/>
      <c r="U118" s="92" t="e">
        <f t="shared" ca="1" si="6"/>
        <v>#NAME?</v>
      </c>
      <c r="V118" s="92">
        <f t="shared" si="29"/>
        <v>0</v>
      </c>
      <c r="W118" s="92" t="e">
        <f t="shared" ca="1" si="8"/>
        <v>#NAME?</v>
      </c>
      <c r="X118" s="92" t="e">
        <f t="shared" ca="1" si="30"/>
        <v>#NAME?</v>
      </c>
      <c r="Y118" s="92" t="e">
        <f t="shared" ca="1" si="10"/>
        <v>#NAME?</v>
      </c>
      <c r="Z118" s="21"/>
      <c r="AA118" s="92" t="e">
        <f t="shared" ca="1" si="11"/>
        <v>#NAME?</v>
      </c>
      <c r="AB118" s="92">
        <f t="shared" si="31"/>
        <v>0</v>
      </c>
      <c r="AC118" s="92">
        <f t="shared" si="13"/>
        <v>0</v>
      </c>
      <c r="AD118" s="92">
        <f t="shared" si="32"/>
        <v>0</v>
      </c>
      <c r="AE118" s="92" t="e">
        <f t="shared" ca="1" si="15"/>
        <v>#NAME?</v>
      </c>
      <c r="AF118" s="92" t="e">
        <f t="shared" ca="1" si="23"/>
        <v>#NAME?</v>
      </c>
      <c r="AG118" s="92" t="e">
        <f t="shared" ca="1" si="16"/>
        <v>#NAME?</v>
      </c>
      <c r="AQ118" s="21" t="e">
        <f t="shared" ca="1" si="34"/>
        <v>#NAME?</v>
      </c>
      <c r="AR118" s="12" t="e">
        <f t="shared" ca="1" si="35"/>
        <v>#NAME?</v>
      </c>
    </row>
    <row r="119" spans="1:44" ht="15.75" customHeight="1" x14ac:dyDescent="0.35">
      <c r="A119" s="54">
        <f t="shared" si="0"/>
        <v>2031</v>
      </c>
      <c r="B119" s="54" t="str">
        <f t="shared" si="1"/>
        <v>Q1</v>
      </c>
      <c r="C119" s="99">
        <v>47908</v>
      </c>
      <c r="D119" s="92" t="e">
        <f t="array" aca="1" ref="D119" ca="1">7000*(53%*0.4+47%*0.85)+2800*0.9*_xludf.IFS(B119="Q1",1.3,B119="Q2",0.7,B119="Q3",0.8,B119="Q4",1.2)</f>
        <v>#NAME?</v>
      </c>
      <c r="E119" s="92">
        <v>2025.4280397170853</v>
      </c>
      <c r="F119" s="92">
        <f t="shared" si="25"/>
        <v>0</v>
      </c>
      <c r="G119" s="92">
        <v>300</v>
      </c>
      <c r="H119" s="92"/>
      <c r="I119" s="92"/>
      <c r="J119" s="92" t="e">
        <f t="shared" ca="1" si="26"/>
        <v>#NAME?</v>
      </c>
      <c r="K119" s="92">
        <f t="shared" si="2"/>
        <v>0</v>
      </c>
      <c r="L119" s="92">
        <f>Financiamento!D128</f>
        <v>0</v>
      </c>
      <c r="M119" s="92">
        <f>Financiamento!C128</f>
        <v>0</v>
      </c>
      <c r="N119" s="92"/>
      <c r="O119" s="92"/>
      <c r="Q119" s="92" t="e">
        <f t="shared" ca="1" si="27"/>
        <v>#NAME?</v>
      </c>
      <c r="R119" s="92">
        <f t="shared" si="28"/>
        <v>-300</v>
      </c>
      <c r="S119" s="92" t="e">
        <f t="shared" ca="1" si="5"/>
        <v>#NAME?</v>
      </c>
      <c r="T119" s="92"/>
      <c r="U119" s="92" t="e">
        <f t="shared" ca="1" si="6"/>
        <v>#NAME?</v>
      </c>
      <c r="V119" s="92">
        <f t="shared" si="29"/>
        <v>0</v>
      </c>
      <c r="W119" s="92" t="e">
        <f t="shared" ca="1" si="8"/>
        <v>#NAME?</v>
      </c>
      <c r="X119" s="92" t="e">
        <f t="shared" ca="1" si="30"/>
        <v>#NAME?</v>
      </c>
      <c r="Y119" s="92" t="e">
        <f t="shared" ca="1" si="10"/>
        <v>#NAME?</v>
      </c>
      <c r="Z119" s="21"/>
      <c r="AA119" s="92" t="e">
        <f t="shared" ca="1" si="11"/>
        <v>#NAME?</v>
      </c>
      <c r="AB119" s="92">
        <f t="shared" si="31"/>
        <v>0</v>
      </c>
      <c r="AC119" s="92">
        <f t="shared" si="13"/>
        <v>0</v>
      </c>
      <c r="AD119" s="92">
        <f t="shared" si="32"/>
        <v>0</v>
      </c>
      <c r="AE119" s="92" t="e">
        <f t="shared" ca="1" si="15"/>
        <v>#NAME?</v>
      </c>
      <c r="AF119" s="92" t="e">
        <f t="shared" ca="1" si="23"/>
        <v>#NAME?</v>
      </c>
      <c r="AG119" s="92" t="e">
        <f t="shared" ca="1" si="16"/>
        <v>#NAME?</v>
      </c>
      <c r="AQ119" s="21" t="e">
        <f t="shared" ca="1" si="34"/>
        <v>#NAME?</v>
      </c>
      <c r="AR119" s="12" t="e">
        <f t="shared" ca="1" si="35"/>
        <v>#NAME?</v>
      </c>
    </row>
    <row r="120" spans="1:44" ht="15.75" customHeight="1" x14ac:dyDescent="0.35">
      <c r="A120" s="54">
        <f t="shared" si="0"/>
        <v>2031</v>
      </c>
      <c r="B120" s="54" t="str">
        <f t="shared" si="1"/>
        <v>Q2</v>
      </c>
      <c r="C120" s="99">
        <v>47939</v>
      </c>
      <c r="D120" s="92" t="e">
        <f t="array" aca="1" ref="D120" ca="1">7000*(53%*0.4+47%*0.85)+2800*0.9*_xludf.IFS(B120="Q1",1.3,B120="Q2",0.7,B120="Q3",0.8,B120="Q4",1.2)</f>
        <v>#NAME?</v>
      </c>
      <c r="E120" s="92">
        <v>1906.8585739278926</v>
      </c>
      <c r="F120" s="92">
        <f t="shared" si="25"/>
        <v>0</v>
      </c>
      <c r="G120" s="92">
        <v>300</v>
      </c>
      <c r="H120" s="92"/>
      <c r="I120" s="92"/>
      <c r="J120" s="92" t="e">
        <f t="shared" ca="1" si="26"/>
        <v>#NAME?</v>
      </c>
      <c r="K120" s="92">
        <f t="shared" si="2"/>
        <v>0</v>
      </c>
      <c r="L120" s="92">
        <f>Financiamento!D129</f>
        <v>0</v>
      </c>
      <c r="M120" s="92">
        <f>Financiamento!C129</f>
        <v>0</v>
      </c>
      <c r="N120" s="92"/>
      <c r="O120" s="92"/>
      <c r="Q120" s="92" t="e">
        <f t="shared" ca="1" si="27"/>
        <v>#NAME?</v>
      </c>
      <c r="R120" s="92">
        <f t="shared" si="28"/>
        <v>-300</v>
      </c>
      <c r="S120" s="92" t="e">
        <f t="shared" ca="1" si="5"/>
        <v>#NAME?</v>
      </c>
      <c r="T120" s="92"/>
      <c r="U120" s="92" t="e">
        <f t="shared" ca="1" si="6"/>
        <v>#NAME?</v>
      </c>
      <c r="V120" s="92">
        <f t="shared" si="29"/>
        <v>0</v>
      </c>
      <c r="W120" s="92" t="e">
        <f t="shared" ca="1" si="8"/>
        <v>#NAME?</v>
      </c>
      <c r="X120" s="92" t="e">
        <f t="shared" ca="1" si="30"/>
        <v>#NAME?</v>
      </c>
      <c r="Y120" s="92" t="e">
        <f t="shared" ca="1" si="10"/>
        <v>#NAME?</v>
      </c>
      <c r="Z120" s="21"/>
      <c r="AA120" s="92" t="e">
        <f t="shared" ca="1" si="11"/>
        <v>#NAME?</v>
      </c>
      <c r="AB120" s="92">
        <f t="shared" si="31"/>
        <v>0</v>
      </c>
      <c r="AC120" s="92">
        <f t="shared" si="13"/>
        <v>0</v>
      </c>
      <c r="AD120" s="92">
        <f t="shared" si="32"/>
        <v>0</v>
      </c>
      <c r="AE120" s="92" t="e">
        <f t="shared" ca="1" si="15"/>
        <v>#NAME?</v>
      </c>
      <c r="AF120" s="92" t="e">
        <f t="shared" ca="1" si="23"/>
        <v>#NAME?</v>
      </c>
      <c r="AG120" s="92" t="e">
        <f t="shared" ca="1" si="16"/>
        <v>#NAME?</v>
      </c>
      <c r="AQ120" s="21" t="e">
        <f t="shared" ca="1" si="34"/>
        <v>#NAME?</v>
      </c>
      <c r="AR120" s="12" t="e">
        <f t="shared" ca="1" si="35"/>
        <v>#NAME?</v>
      </c>
    </row>
    <row r="121" spans="1:44" ht="15.75" customHeight="1" x14ac:dyDescent="0.35">
      <c r="A121" s="54">
        <f t="shared" si="0"/>
        <v>2031</v>
      </c>
      <c r="B121" s="54" t="str">
        <f t="shared" si="1"/>
        <v>Q2</v>
      </c>
      <c r="C121" s="99">
        <v>47969</v>
      </c>
      <c r="D121" s="92" t="e">
        <f t="array" aca="1" ref="D121" ca="1">7000*(53%*0.4+47%*0.85)+2800*0.9*_xludf.IFS(B121="Q1",1.3,B121="Q2",0.7,B121="Q3",0.8,B121="Q4",1.2)</f>
        <v>#NAME?</v>
      </c>
      <c r="E121" s="92">
        <v>1837.2760017426358</v>
      </c>
      <c r="F121" s="92">
        <f t="shared" si="25"/>
        <v>0</v>
      </c>
      <c r="G121" s="92">
        <v>300</v>
      </c>
      <c r="H121" s="92"/>
      <c r="I121" s="92"/>
      <c r="J121" s="92" t="e">
        <f t="shared" ca="1" si="26"/>
        <v>#NAME?</v>
      </c>
      <c r="K121" s="92">
        <f t="shared" si="2"/>
        <v>0</v>
      </c>
      <c r="L121" s="92">
        <f>Financiamento!D130</f>
        <v>0</v>
      </c>
      <c r="M121" s="92">
        <f>Financiamento!C130</f>
        <v>0</v>
      </c>
      <c r="N121" s="92"/>
      <c r="O121" s="92"/>
      <c r="Q121" s="92" t="e">
        <f t="shared" ca="1" si="27"/>
        <v>#NAME?</v>
      </c>
      <c r="R121" s="92">
        <f t="shared" si="28"/>
        <v>-300</v>
      </c>
      <c r="S121" s="92" t="e">
        <f t="shared" ca="1" si="5"/>
        <v>#NAME?</v>
      </c>
      <c r="T121" s="92"/>
      <c r="U121" s="92" t="e">
        <f t="shared" ca="1" si="6"/>
        <v>#NAME?</v>
      </c>
      <c r="V121" s="92">
        <f t="shared" si="29"/>
        <v>0</v>
      </c>
      <c r="W121" s="92" t="e">
        <f t="shared" ca="1" si="8"/>
        <v>#NAME?</v>
      </c>
      <c r="X121" s="92" t="e">
        <f t="shared" ca="1" si="30"/>
        <v>#NAME?</v>
      </c>
      <c r="Y121" s="92" t="e">
        <f t="shared" ca="1" si="10"/>
        <v>#NAME?</v>
      </c>
      <c r="Z121" s="21"/>
      <c r="AA121" s="92" t="e">
        <f t="shared" ca="1" si="11"/>
        <v>#NAME?</v>
      </c>
      <c r="AB121" s="92">
        <f t="shared" si="31"/>
        <v>0</v>
      </c>
      <c r="AC121" s="92">
        <f t="shared" si="13"/>
        <v>0</v>
      </c>
      <c r="AD121" s="92">
        <f t="shared" si="32"/>
        <v>0</v>
      </c>
      <c r="AE121" s="92" t="e">
        <f t="shared" ca="1" si="15"/>
        <v>#NAME?</v>
      </c>
      <c r="AF121" s="92" t="e">
        <f t="shared" ca="1" si="23"/>
        <v>#NAME?</v>
      </c>
      <c r="AG121" s="92" t="e">
        <f t="shared" ca="1" si="16"/>
        <v>#NAME?</v>
      </c>
      <c r="AQ121" s="21" t="e">
        <f t="shared" ca="1" si="34"/>
        <v>#NAME?</v>
      </c>
      <c r="AR121" s="12" t="e">
        <f t="shared" ca="1" si="35"/>
        <v>#NAME?</v>
      </c>
    </row>
    <row r="122" spans="1:44" ht="15.75" customHeight="1" x14ac:dyDescent="0.35">
      <c r="A122" s="54">
        <f t="shared" si="0"/>
        <v>2031</v>
      </c>
      <c r="B122" s="54" t="str">
        <f t="shared" si="1"/>
        <v>Q2</v>
      </c>
      <c r="C122" s="99">
        <v>48000</v>
      </c>
      <c r="D122" s="92" t="e">
        <f t="array" aca="1" ref="D122" ca="1">7000*(53%*0.4+47%*0.85)+2800*0.9*_xludf.IFS(B122="Q1",1.3,B122="Q2",0.7,B122="Q3",0.8,B122="Q4",1.2)</f>
        <v>#NAME?</v>
      </c>
      <c r="E122" s="92">
        <v>1936.4681791131084</v>
      </c>
      <c r="F122" s="92">
        <f t="shared" si="25"/>
        <v>0</v>
      </c>
      <c r="G122" s="92">
        <v>300</v>
      </c>
      <c r="H122" s="92"/>
      <c r="I122" s="92"/>
      <c r="J122" s="92" t="e">
        <f t="shared" ca="1" si="26"/>
        <v>#NAME?</v>
      </c>
      <c r="K122" s="92">
        <f t="shared" si="2"/>
        <v>0</v>
      </c>
      <c r="L122" s="92">
        <f>Financiamento!D131</f>
        <v>0</v>
      </c>
      <c r="M122" s="92">
        <f>Financiamento!C131</f>
        <v>0</v>
      </c>
      <c r="N122" s="92"/>
      <c r="O122" s="92"/>
      <c r="Q122" s="92" t="e">
        <f t="shared" ca="1" si="27"/>
        <v>#NAME?</v>
      </c>
      <c r="R122" s="92">
        <f t="shared" si="28"/>
        <v>-300</v>
      </c>
      <c r="S122" s="92" t="e">
        <f t="shared" ca="1" si="5"/>
        <v>#NAME?</v>
      </c>
      <c r="T122" s="92"/>
      <c r="U122" s="92" t="e">
        <f t="shared" ca="1" si="6"/>
        <v>#NAME?</v>
      </c>
      <c r="V122" s="92">
        <f t="shared" si="29"/>
        <v>0</v>
      </c>
      <c r="W122" s="92" t="e">
        <f t="shared" ca="1" si="8"/>
        <v>#NAME?</v>
      </c>
      <c r="X122" s="92" t="e">
        <f t="shared" ca="1" si="30"/>
        <v>#NAME?</v>
      </c>
      <c r="Y122" s="92" t="e">
        <f t="shared" ca="1" si="10"/>
        <v>#NAME?</v>
      </c>
      <c r="Z122" s="21"/>
      <c r="AA122" s="92" t="e">
        <f t="shared" ca="1" si="11"/>
        <v>#NAME?</v>
      </c>
      <c r="AB122" s="92">
        <f t="shared" si="31"/>
        <v>0</v>
      </c>
      <c r="AC122" s="92">
        <f t="shared" si="13"/>
        <v>0</v>
      </c>
      <c r="AD122" s="92">
        <f t="shared" si="32"/>
        <v>0</v>
      </c>
      <c r="AE122" s="92" t="e">
        <f t="shared" ca="1" si="15"/>
        <v>#NAME?</v>
      </c>
      <c r="AF122" s="92" t="e">
        <f t="shared" ca="1" si="23"/>
        <v>#NAME?</v>
      </c>
      <c r="AG122" s="92" t="e">
        <f t="shared" ca="1" si="16"/>
        <v>#NAME?</v>
      </c>
      <c r="AQ122" s="21" t="e">
        <f t="shared" ca="1" si="34"/>
        <v>#NAME?</v>
      </c>
      <c r="AR122" s="12" t="e">
        <f t="shared" ca="1" si="35"/>
        <v>#NAME?</v>
      </c>
    </row>
    <row r="123" spans="1:44" ht="15.75" customHeight="1" x14ac:dyDescent="0.35">
      <c r="A123" s="54">
        <f t="shared" si="0"/>
        <v>2031</v>
      </c>
      <c r="B123" s="54" t="str">
        <f t="shared" si="1"/>
        <v>Q3</v>
      </c>
      <c r="C123" s="99">
        <v>48030</v>
      </c>
      <c r="D123" s="92" t="e">
        <f t="array" aca="1" ref="D123" ca="1">7000*(53%*0.4+47%*0.85)+2800*0.9*_xludf.IFS(B123="Q1",1.3,B123="Q2",0.7,B123="Q3",0.8,B123="Q4",1.2)</f>
        <v>#NAME?</v>
      </c>
      <c r="E123" s="92">
        <v>1783.9787124092472</v>
      </c>
      <c r="F123" s="92">
        <f t="shared" si="25"/>
        <v>0</v>
      </c>
      <c r="G123" s="92">
        <v>300</v>
      </c>
      <c r="H123" s="92"/>
      <c r="I123" s="92"/>
      <c r="J123" s="92" t="e">
        <f t="shared" ca="1" si="26"/>
        <v>#NAME?</v>
      </c>
      <c r="K123" s="92">
        <f t="shared" si="2"/>
        <v>0</v>
      </c>
      <c r="L123" s="92">
        <f>Financiamento!D132</f>
        <v>0</v>
      </c>
      <c r="M123" s="92">
        <f>Financiamento!C132</f>
        <v>0</v>
      </c>
      <c r="N123" s="92"/>
      <c r="O123" s="92"/>
      <c r="Q123" s="92" t="e">
        <f t="shared" ca="1" si="27"/>
        <v>#NAME?</v>
      </c>
      <c r="R123" s="92">
        <f t="shared" si="28"/>
        <v>-300</v>
      </c>
      <c r="S123" s="92" t="e">
        <f t="shared" ca="1" si="5"/>
        <v>#NAME?</v>
      </c>
      <c r="T123" s="92"/>
      <c r="U123" s="92" t="e">
        <f t="shared" ca="1" si="6"/>
        <v>#NAME?</v>
      </c>
      <c r="V123" s="92">
        <f t="shared" si="29"/>
        <v>0</v>
      </c>
      <c r="W123" s="92" t="e">
        <f t="shared" ca="1" si="8"/>
        <v>#NAME?</v>
      </c>
      <c r="X123" s="92" t="e">
        <f t="shared" ca="1" si="30"/>
        <v>#NAME?</v>
      </c>
      <c r="Y123" s="92" t="e">
        <f t="shared" ca="1" si="10"/>
        <v>#NAME?</v>
      </c>
      <c r="Z123" s="21"/>
      <c r="AA123" s="92" t="e">
        <f t="shared" ca="1" si="11"/>
        <v>#NAME?</v>
      </c>
      <c r="AB123" s="92">
        <f t="shared" si="31"/>
        <v>0</v>
      </c>
      <c r="AC123" s="92">
        <f t="shared" si="13"/>
        <v>0</v>
      </c>
      <c r="AD123" s="92">
        <f t="shared" si="32"/>
        <v>0</v>
      </c>
      <c r="AE123" s="92" t="e">
        <f t="shared" ca="1" si="15"/>
        <v>#NAME?</v>
      </c>
      <c r="AF123" s="92" t="e">
        <f t="shared" ca="1" si="23"/>
        <v>#NAME?</v>
      </c>
      <c r="AG123" s="92" t="e">
        <f t="shared" ca="1" si="16"/>
        <v>#NAME?</v>
      </c>
      <c r="AQ123" s="21" t="e">
        <f t="shared" ca="1" si="34"/>
        <v>#NAME?</v>
      </c>
      <c r="AR123" s="12" t="e">
        <f t="shared" ca="1" si="35"/>
        <v>#NAME?</v>
      </c>
    </row>
    <row r="124" spans="1:44" ht="15.75" customHeight="1" x14ac:dyDescent="0.35">
      <c r="A124" s="54">
        <f t="shared" si="0"/>
        <v>2031</v>
      </c>
      <c r="B124" s="54" t="str">
        <f t="shared" si="1"/>
        <v>Q3</v>
      </c>
      <c r="C124" s="99">
        <v>48061</v>
      </c>
      <c r="D124" s="92" t="e">
        <f t="array" aca="1" ref="D124" ca="1">7000*(53%*0.4+47%*0.85)+2800*0.9*_xludf.IFS(B124="Q1",1.3,B124="Q2",0.7,B124="Q3",0.8,B124="Q4",1.2)</f>
        <v>#NAME?</v>
      </c>
      <c r="E124" s="92">
        <v>1616.6844431127786</v>
      </c>
      <c r="F124" s="92">
        <f t="shared" si="25"/>
        <v>0</v>
      </c>
      <c r="G124" s="92">
        <v>300</v>
      </c>
      <c r="H124" s="92"/>
      <c r="I124" s="92"/>
      <c r="J124" s="92" t="e">
        <f t="shared" ca="1" si="26"/>
        <v>#NAME?</v>
      </c>
      <c r="K124" s="92">
        <f t="shared" si="2"/>
        <v>0</v>
      </c>
      <c r="L124" s="92">
        <f>Financiamento!D133</f>
        <v>0</v>
      </c>
      <c r="M124" s="92">
        <f>Financiamento!C133</f>
        <v>0</v>
      </c>
      <c r="N124" s="92"/>
      <c r="O124" s="92"/>
      <c r="Q124" s="92" t="e">
        <f t="shared" ca="1" si="27"/>
        <v>#NAME?</v>
      </c>
      <c r="R124" s="92">
        <f t="shared" si="28"/>
        <v>-300</v>
      </c>
      <c r="S124" s="92" t="e">
        <f t="shared" ca="1" si="5"/>
        <v>#NAME?</v>
      </c>
      <c r="T124" s="92"/>
      <c r="U124" s="92" t="e">
        <f t="shared" ca="1" si="6"/>
        <v>#NAME?</v>
      </c>
      <c r="V124" s="92">
        <f t="shared" si="29"/>
        <v>0</v>
      </c>
      <c r="W124" s="92" t="e">
        <f t="shared" ca="1" si="8"/>
        <v>#NAME?</v>
      </c>
      <c r="X124" s="92" t="e">
        <f t="shared" ca="1" si="30"/>
        <v>#NAME?</v>
      </c>
      <c r="Y124" s="92" t="e">
        <f t="shared" ca="1" si="10"/>
        <v>#NAME?</v>
      </c>
      <c r="Z124" s="21"/>
      <c r="AA124" s="92" t="e">
        <f t="shared" ca="1" si="11"/>
        <v>#NAME?</v>
      </c>
      <c r="AB124" s="92">
        <f t="shared" si="31"/>
        <v>0</v>
      </c>
      <c r="AC124" s="92">
        <f t="shared" si="13"/>
        <v>0</v>
      </c>
      <c r="AD124" s="92">
        <f t="shared" si="32"/>
        <v>0</v>
      </c>
      <c r="AE124" s="92" t="e">
        <f t="shared" ca="1" si="15"/>
        <v>#NAME?</v>
      </c>
      <c r="AF124" s="92" t="e">
        <f t="shared" ca="1" si="23"/>
        <v>#NAME?</v>
      </c>
      <c r="AG124" s="92" t="e">
        <f t="shared" ca="1" si="16"/>
        <v>#NAME?</v>
      </c>
      <c r="AQ124" s="21" t="e">
        <f t="shared" ca="1" si="34"/>
        <v>#NAME?</v>
      </c>
      <c r="AR124" s="12" t="e">
        <f t="shared" ca="1" si="35"/>
        <v>#NAME?</v>
      </c>
    </row>
    <row r="125" spans="1:44" ht="15.75" customHeight="1" x14ac:dyDescent="0.35">
      <c r="A125" s="54">
        <f t="shared" si="0"/>
        <v>2031</v>
      </c>
      <c r="B125" s="54" t="str">
        <f t="shared" si="1"/>
        <v>Q3</v>
      </c>
      <c r="C125" s="99">
        <v>48092</v>
      </c>
      <c r="D125" s="92" t="e">
        <f t="array" aca="1" ref="D125" ca="1">7000*(53%*0.4+47%*0.85)+2800*0.9*_xludf.IFS(B125="Q1",1.3,B125="Q2",0.7,B125="Q3",0.8,B125="Q4",1.2)</f>
        <v>#NAME?</v>
      </c>
      <c r="E125" s="92">
        <v>1548.5823511867823</v>
      </c>
      <c r="F125" s="92">
        <f t="shared" si="25"/>
        <v>0</v>
      </c>
      <c r="G125" s="92">
        <v>300</v>
      </c>
      <c r="H125" s="92"/>
      <c r="I125" s="92"/>
      <c r="J125" s="92" t="e">
        <f t="shared" ca="1" si="26"/>
        <v>#NAME?</v>
      </c>
      <c r="K125" s="92">
        <f t="shared" si="2"/>
        <v>0</v>
      </c>
      <c r="L125" s="92">
        <f>Financiamento!D134</f>
        <v>0</v>
      </c>
      <c r="M125" s="92">
        <f>Financiamento!C134</f>
        <v>0</v>
      </c>
      <c r="N125" s="92"/>
      <c r="O125" s="92"/>
      <c r="Q125" s="92" t="e">
        <f t="shared" ca="1" si="27"/>
        <v>#NAME?</v>
      </c>
      <c r="R125" s="92">
        <f t="shared" si="28"/>
        <v>-300</v>
      </c>
      <c r="S125" s="92" t="e">
        <f t="shared" ca="1" si="5"/>
        <v>#NAME?</v>
      </c>
      <c r="T125" s="92"/>
      <c r="U125" s="92" t="e">
        <f t="shared" ca="1" si="6"/>
        <v>#NAME?</v>
      </c>
      <c r="V125" s="92">
        <f t="shared" si="29"/>
        <v>0</v>
      </c>
      <c r="W125" s="92" t="e">
        <f t="shared" ca="1" si="8"/>
        <v>#NAME?</v>
      </c>
      <c r="X125" s="92" t="e">
        <f t="shared" ca="1" si="30"/>
        <v>#NAME?</v>
      </c>
      <c r="Y125" s="92" t="e">
        <f t="shared" ca="1" si="10"/>
        <v>#NAME?</v>
      </c>
      <c r="Z125" s="21"/>
      <c r="AA125" s="92" t="e">
        <f t="shared" ca="1" si="11"/>
        <v>#NAME?</v>
      </c>
      <c r="AB125" s="92">
        <f t="shared" si="31"/>
        <v>0</v>
      </c>
      <c r="AC125" s="92">
        <f t="shared" si="13"/>
        <v>0</v>
      </c>
      <c r="AD125" s="92">
        <f t="shared" si="32"/>
        <v>0</v>
      </c>
      <c r="AE125" s="92" t="e">
        <f t="shared" ca="1" si="15"/>
        <v>#NAME?</v>
      </c>
      <c r="AF125" s="92" t="e">
        <f t="shared" ca="1" si="23"/>
        <v>#NAME?</v>
      </c>
      <c r="AG125" s="92" t="e">
        <f t="shared" ca="1" si="16"/>
        <v>#NAME?</v>
      </c>
      <c r="AQ125" s="21" t="e">
        <f t="shared" ca="1" si="34"/>
        <v>#NAME?</v>
      </c>
      <c r="AR125" s="12" t="e">
        <f t="shared" ca="1" si="35"/>
        <v>#NAME?</v>
      </c>
    </row>
    <row r="126" spans="1:44" ht="15.75" customHeight="1" x14ac:dyDescent="0.35">
      <c r="A126" s="54">
        <f t="shared" si="0"/>
        <v>2031</v>
      </c>
      <c r="B126" s="54" t="str">
        <f t="shared" si="1"/>
        <v>Q4</v>
      </c>
      <c r="C126" s="99">
        <v>48122</v>
      </c>
      <c r="D126" s="92" t="e">
        <f t="array" aca="1" ref="D126" ca="1">7000*(53%*0.4+47%*0.85)+2800*0.9*_xludf.IFS(B126="Q1",1.3,B126="Q2",0.7,B126="Q3",0.8,B126="Q4",1.2)</f>
        <v>#NAME?</v>
      </c>
      <c r="E126" s="92">
        <v>1653.6964495942984</v>
      </c>
      <c r="F126" s="92">
        <f t="shared" si="25"/>
        <v>0</v>
      </c>
      <c r="G126" s="92">
        <v>300</v>
      </c>
      <c r="H126" s="92"/>
      <c r="I126" s="92"/>
      <c r="J126" s="92" t="e">
        <f t="shared" ca="1" si="26"/>
        <v>#NAME?</v>
      </c>
      <c r="K126" s="92">
        <f t="shared" si="2"/>
        <v>0</v>
      </c>
      <c r="L126" s="92">
        <f>Financiamento!D135</f>
        <v>0</v>
      </c>
      <c r="M126" s="92">
        <f>Financiamento!C135</f>
        <v>0</v>
      </c>
      <c r="N126" s="92"/>
      <c r="O126" s="92"/>
      <c r="Q126" s="92" t="e">
        <f t="shared" ca="1" si="27"/>
        <v>#NAME?</v>
      </c>
      <c r="R126" s="92">
        <f t="shared" si="28"/>
        <v>-300</v>
      </c>
      <c r="S126" s="92" t="e">
        <f t="shared" ca="1" si="5"/>
        <v>#NAME?</v>
      </c>
      <c r="T126" s="92"/>
      <c r="U126" s="92" t="e">
        <f t="shared" ca="1" si="6"/>
        <v>#NAME?</v>
      </c>
      <c r="V126" s="92">
        <f t="shared" si="29"/>
        <v>0</v>
      </c>
      <c r="W126" s="92" t="e">
        <f t="shared" ca="1" si="8"/>
        <v>#NAME?</v>
      </c>
      <c r="X126" s="92" t="e">
        <f t="shared" ca="1" si="30"/>
        <v>#NAME?</v>
      </c>
      <c r="Y126" s="92" t="e">
        <f t="shared" ca="1" si="10"/>
        <v>#NAME?</v>
      </c>
      <c r="Z126" s="21"/>
      <c r="AA126" s="92" t="e">
        <f t="shared" ca="1" si="11"/>
        <v>#NAME?</v>
      </c>
      <c r="AB126" s="92">
        <f t="shared" si="31"/>
        <v>0</v>
      </c>
      <c r="AC126" s="92">
        <f t="shared" si="13"/>
        <v>0</v>
      </c>
      <c r="AD126" s="92">
        <f t="shared" si="32"/>
        <v>0</v>
      </c>
      <c r="AE126" s="92" t="e">
        <f t="shared" ca="1" si="15"/>
        <v>#NAME?</v>
      </c>
      <c r="AF126" s="92" t="e">
        <f t="shared" ca="1" si="23"/>
        <v>#NAME?</v>
      </c>
      <c r="AG126" s="92" t="e">
        <f t="shared" ca="1" si="16"/>
        <v>#NAME?</v>
      </c>
      <c r="AQ126" s="21" t="e">
        <f t="shared" ca="1" si="34"/>
        <v>#NAME?</v>
      </c>
      <c r="AR126" s="12" t="e">
        <f t="shared" ca="1" si="35"/>
        <v>#NAME?</v>
      </c>
    </row>
    <row r="127" spans="1:44" ht="15.75" customHeight="1" x14ac:dyDescent="0.35">
      <c r="A127" s="54">
        <f t="shared" si="0"/>
        <v>2031</v>
      </c>
      <c r="B127" s="54" t="str">
        <f t="shared" si="1"/>
        <v>Q4</v>
      </c>
      <c r="C127" s="99">
        <v>48153</v>
      </c>
      <c r="D127" s="92" t="e">
        <f t="array" aca="1" ref="D127" ca="1">7000*(53%*0.4+47%*0.85)+2800*0.9*_xludf.IFS(B127="Q1",1.3,B127="Q2",0.7,B127="Q3",0.8,B127="Q4",1.2)</f>
        <v>#NAME?</v>
      </c>
      <c r="E127" s="92">
        <v>1783.9787124092472</v>
      </c>
      <c r="F127" s="92">
        <f t="shared" si="25"/>
        <v>2000</v>
      </c>
      <c r="G127" s="92">
        <v>300</v>
      </c>
      <c r="H127" s="92"/>
      <c r="I127" s="92"/>
      <c r="J127" s="92" t="e">
        <f t="shared" ca="1" si="26"/>
        <v>#NAME?</v>
      </c>
      <c r="K127" s="92">
        <f t="shared" si="2"/>
        <v>0</v>
      </c>
      <c r="L127" s="92">
        <f>Financiamento!D136</f>
        <v>0</v>
      </c>
      <c r="M127" s="92">
        <f>Financiamento!C136</f>
        <v>0</v>
      </c>
      <c r="N127" s="92"/>
      <c r="O127" s="92"/>
      <c r="Q127" s="92" t="e">
        <f t="shared" ca="1" si="27"/>
        <v>#NAME?</v>
      </c>
      <c r="R127" s="92">
        <f t="shared" si="28"/>
        <v>-2300</v>
      </c>
      <c r="S127" s="92" t="e">
        <f t="shared" ca="1" si="5"/>
        <v>#NAME?</v>
      </c>
      <c r="T127" s="92"/>
      <c r="U127" s="92" t="e">
        <f t="shared" ca="1" si="6"/>
        <v>#NAME?</v>
      </c>
      <c r="V127" s="92">
        <f t="shared" si="29"/>
        <v>0</v>
      </c>
      <c r="W127" s="92" t="e">
        <f t="shared" ca="1" si="8"/>
        <v>#NAME?</v>
      </c>
      <c r="X127" s="92" t="e">
        <f t="shared" ca="1" si="30"/>
        <v>#NAME?</v>
      </c>
      <c r="Y127" s="92" t="e">
        <f t="shared" ca="1" si="10"/>
        <v>#NAME?</v>
      </c>
      <c r="Z127" s="21"/>
      <c r="AA127" s="92" t="e">
        <f t="shared" ca="1" si="11"/>
        <v>#NAME?</v>
      </c>
      <c r="AB127" s="92">
        <f t="shared" si="31"/>
        <v>0</v>
      </c>
      <c r="AC127" s="92">
        <f t="shared" si="13"/>
        <v>0</v>
      </c>
      <c r="AD127" s="92">
        <f t="shared" si="32"/>
        <v>0</v>
      </c>
      <c r="AE127" s="92" t="e">
        <f t="shared" ca="1" si="15"/>
        <v>#NAME?</v>
      </c>
      <c r="AF127" s="92" t="e">
        <f t="shared" ca="1" si="23"/>
        <v>#NAME?</v>
      </c>
      <c r="AG127" s="92" t="e">
        <f t="shared" ca="1" si="16"/>
        <v>#NAME?</v>
      </c>
      <c r="AQ127" s="21" t="e">
        <f t="shared" ca="1" si="34"/>
        <v>#NAME?</v>
      </c>
      <c r="AR127" s="12" t="e">
        <f t="shared" ca="1" si="35"/>
        <v>#NAME?</v>
      </c>
    </row>
    <row r="128" spans="1:44" ht="15.75" customHeight="1" x14ac:dyDescent="0.35">
      <c r="A128" s="54">
        <f t="shared" si="0"/>
        <v>2031</v>
      </c>
      <c r="B128" s="54" t="str">
        <f t="shared" si="1"/>
        <v>Q4</v>
      </c>
      <c r="C128" s="99">
        <v>48183</v>
      </c>
      <c r="D128" s="92" t="e">
        <f t="array" aca="1" ref="D128" ca="1">7000*(53%*0.4+47%*0.85)+2800*0.9*_xludf.IFS(B128="Q1",1.3,B128="Q2",0.7,B128="Q3",0.8,B128="Q4",1.2)</f>
        <v>#NAME?</v>
      </c>
      <c r="E128" s="92">
        <v>1687.7474955572966</v>
      </c>
      <c r="F128" s="92">
        <f t="shared" si="25"/>
        <v>0</v>
      </c>
      <c r="G128" s="92">
        <v>300</v>
      </c>
      <c r="H128" s="92"/>
      <c r="I128" s="92"/>
      <c r="J128" s="92" t="e">
        <f t="shared" ca="1" si="26"/>
        <v>#NAME?</v>
      </c>
      <c r="K128" s="92">
        <f t="shared" si="2"/>
        <v>0</v>
      </c>
      <c r="L128" s="92">
        <f>Financiamento!D137</f>
        <v>0</v>
      </c>
      <c r="M128" s="92">
        <f>Financiamento!C137</f>
        <v>0</v>
      </c>
      <c r="N128" s="92"/>
      <c r="O128" s="92"/>
      <c r="Q128" s="92" t="e">
        <f t="shared" ca="1" si="27"/>
        <v>#NAME?</v>
      </c>
      <c r="R128" s="92">
        <f t="shared" si="28"/>
        <v>-300</v>
      </c>
      <c r="S128" s="92" t="e">
        <f t="shared" ca="1" si="5"/>
        <v>#NAME?</v>
      </c>
      <c r="T128" s="92"/>
      <c r="U128" s="92" t="e">
        <f t="shared" ca="1" si="6"/>
        <v>#NAME?</v>
      </c>
      <c r="V128" s="92">
        <f t="shared" si="29"/>
        <v>0</v>
      </c>
      <c r="W128" s="92" t="e">
        <f t="shared" ca="1" si="8"/>
        <v>#NAME?</v>
      </c>
      <c r="X128" s="92" t="e">
        <f t="shared" ca="1" si="30"/>
        <v>#NAME?</v>
      </c>
      <c r="Y128" s="92" t="e">
        <f t="shared" ca="1" si="10"/>
        <v>#NAME?</v>
      </c>
      <c r="Z128" s="21"/>
      <c r="AA128" s="92" t="e">
        <f t="shared" ca="1" si="11"/>
        <v>#NAME?</v>
      </c>
      <c r="AB128" s="92">
        <f t="shared" si="31"/>
        <v>0</v>
      </c>
      <c r="AC128" s="92">
        <f t="shared" si="13"/>
        <v>0</v>
      </c>
      <c r="AD128" s="92">
        <f t="shared" si="32"/>
        <v>0</v>
      </c>
      <c r="AE128" s="92" t="e">
        <f t="shared" ca="1" si="15"/>
        <v>#NAME?</v>
      </c>
      <c r="AF128" s="92" t="e">
        <f t="shared" ca="1" si="23"/>
        <v>#NAME?</v>
      </c>
      <c r="AG128" s="92" t="e">
        <f t="shared" ca="1" si="16"/>
        <v>#NAME?</v>
      </c>
      <c r="AQ128" s="21" t="e">
        <f t="shared" ca="1" si="34"/>
        <v>#NAME?</v>
      </c>
      <c r="AR128" s="12" t="e">
        <f t="shared" ca="1" si="35"/>
        <v>#NAME?</v>
      </c>
    </row>
    <row r="129" spans="1:44" ht="15.75" customHeight="1" x14ac:dyDescent="0.35">
      <c r="A129" s="54">
        <f t="shared" si="0"/>
        <v>2032</v>
      </c>
      <c r="B129" s="54" t="str">
        <f t="shared" si="1"/>
        <v>Q1</v>
      </c>
      <c r="C129" s="99">
        <v>48214</v>
      </c>
      <c r="D129" s="92" t="e">
        <f t="array" aca="1" ref="D129" ca="1">7000*(53%*0.4+47%*0.85)+2800*0.9*_xludf.IFS(B129="Q1",1.3,B129="Q2",0.7,B129="Q3",0.8,B129="Q4",1.2)</f>
        <v>#NAME?</v>
      </c>
      <c r="E129" s="92">
        <v>1714.3961402239904</v>
      </c>
      <c r="F129" s="92">
        <f t="shared" si="25"/>
        <v>0</v>
      </c>
      <c r="G129" s="92">
        <v>300</v>
      </c>
      <c r="H129" s="92"/>
      <c r="I129" s="92"/>
      <c r="J129" s="92" t="e">
        <f t="shared" ca="1" si="26"/>
        <v>#NAME?</v>
      </c>
      <c r="K129" s="92">
        <f t="shared" si="2"/>
        <v>0</v>
      </c>
      <c r="L129" s="92">
        <f>Financiamento!D138</f>
        <v>0</v>
      </c>
      <c r="M129" s="92">
        <f>Financiamento!C138</f>
        <v>0</v>
      </c>
      <c r="N129" s="92"/>
      <c r="O129" s="92"/>
      <c r="Q129" s="92" t="e">
        <f t="shared" ca="1" si="27"/>
        <v>#NAME?</v>
      </c>
      <c r="R129" s="92">
        <f t="shared" si="28"/>
        <v>-300</v>
      </c>
      <c r="S129" s="92" t="e">
        <f t="shared" ca="1" si="5"/>
        <v>#NAME?</v>
      </c>
      <c r="T129" s="92"/>
      <c r="U129" s="92" t="e">
        <f t="shared" ca="1" si="6"/>
        <v>#NAME?</v>
      </c>
      <c r="V129" s="92">
        <f t="shared" si="29"/>
        <v>0</v>
      </c>
      <c r="W129" s="92" t="e">
        <f t="shared" ca="1" si="8"/>
        <v>#NAME?</v>
      </c>
      <c r="X129" s="92" t="e">
        <f t="shared" ca="1" si="30"/>
        <v>#NAME?</v>
      </c>
      <c r="Y129" s="92" t="e">
        <f t="shared" ca="1" si="10"/>
        <v>#NAME?</v>
      </c>
      <c r="Z129" s="21"/>
      <c r="AA129" s="92" t="e">
        <f t="shared" ca="1" si="11"/>
        <v>#NAME?</v>
      </c>
      <c r="AB129" s="92">
        <f t="shared" si="31"/>
        <v>0</v>
      </c>
      <c r="AC129" s="92">
        <f t="shared" si="13"/>
        <v>0</v>
      </c>
      <c r="AD129" s="92">
        <f t="shared" si="32"/>
        <v>0</v>
      </c>
      <c r="AE129" s="92" t="e">
        <f t="shared" ca="1" si="15"/>
        <v>#NAME?</v>
      </c>
      <c r="AF129" s="92" t="e">
        <f t="shared" ca="1" si="23"/>
        <v>#NAME?</v>
      </c>
      <c r="AG129" s="92" t="e">
        <f t="shared" ca="1" si="16"/>
        <v>#NAME?</v>
      </c>
      <c r="AQ129" s="21" t="e">
        <f t="shared" ca="1" si="34"/>
        <v>#NAME?</v>
      </c>
      <c r="AR129" s="12" t="e">
        <f t="shared" ca="1" si="35"/>
        <v>#NAME?</v>
      </c>
    </row>
    <row r="130" spans="1:44" ht="15.75" customHeight="1" x14ac:dyDescent="0.35">
      <c r="A130" s="54">
        <f t="shared" si="0"/>
        <v>2032</v>
      </c>
      <c r="B130" s="54" t="str">
        <f t="shared" si="1"/>
        <v>Q1</v>
      </c>
      <c r="C130" s="99">
        <v>48245</v>
      </c>
      <c r="D130" s="92" t="e">
        <f t="array" aca="1" ref="D130" ca="1">7000*(53%*0.4+47%*0.85)+2800*0.9*_xludf.IFS(B130="Q1",1.3,B130="Q2",0.7,B130="Q3",0.8,B130="Q4",1.2)</f>
        <v>#NAME?</v>
      </c>
      <c r="E130" s="92">
        <v>1644.8135680387331</v>
      </c>
      <c r="F130" s="92">
        <f t="shared" si="25"/>
        <v>0</v>
      </c>
      <c r="G130" s="92">
        <v>300</v>
      </c>
      <c r="H130" s="92"/>
      <c r="I130" s="92"/>
      <c r="J130" s="92" t="e">
        <f t="shared" ca="1" si="26"/>
        <v>#NAME?</v>
      </c>
      <c r="K130" s="92">
        <f t="shared" si="2"/>
        <v>0</v>
      </c>
      <c r="L130" s="92">
        <f>Financiamento!D139</f>
        <v>0</v>
      </c>
      <c r="M130" s="92">
        <f>Financiamento!C139</f>
        <v>0</v>
      </c>
      <c r="N130" s="92"/>
      <c r="O130" s="92"/>
      <c r="Q130" s="92" t="e">
        <f t="shared" ca="1" si="27"/>
        <v>#NAME?</v>
      </c>
      <c r="R130" s="92">
        <f t="shared" si="28"/>
        <v>-300</v>
      </c>
      <c r="S130" s="92" t="e">
        <f t="shared" ca="1" si="5"/>
        <v>#NAME?</v>
      </c>
      <c r="T130" s="92"/>
      <c r="U130" s="92" t="e">
        <f t="shared" ca="1" si="6"/>
        <v>#NAME?</v>
      </c>
      <c r="V130" s="92">
        <f t="shared" si="29"/>
        <v>0</v>
      </c>
      <c r="W130" s="92" t="e">
        <f t="shared" ca="1" si="8"/>
        <v>#NAME?</v>
      </c>
      <c r="X130" s="92" t="e">
        <f t="shared" ca="1" si="30"/>
        <v>#NAME?</v>
      </c>
      <c r="Y130" s="92" t="e">
        <f t="shared" ca="1" si="10"/>
        <v>#NAME?</v>
      </c>
      <c r="Z130" s="21"/>
      <c r="AA130" s="92" t="e">
        <f t="shared" ca="1" si="11"/>
        <v>#NAME?</v>
      </c>
      <c r="AB130" s="92">
        <f t="shared" si="31"/>
        <v>0</v>
      </c>
      <c r="AC130" s="92">
        <f t="shared" si="13"/>
        <v>0</v>
      </c>
      <c r="AD130" s="92">
        <f t="shared" si="32"/>
        <v>0</v>
      </c>
      <c r="AE130" s="92" t="e">
        <f t="shared" ca="1" si="15"/>
        <v>#NAME?</v>
      </c>
      <c r="AF130" s="92" t="e">
        <f t="shared" ca="1" si="23"/>
        <v>#NAME?</v>
      </c>
      <c r="AG130" s="92" t="e">
        <f t="shared" ca="1" si="16"/>
        <v>#NAME?</v>
      </c>
      <c r="AQ130" s="21" t="e">
        <f t="shared" ca="1" si="34"/>
        <v>#NAME?</v>
      </c>
      <c r="AR130" s="12" t="e">
        <f t="shared" ca="1" si="35"/>
        <v>#NAME?</v>
      </c>
    </row>
    <row r="131" spans="1:44" ht="15.75" customHeight="1" x14ac:dyDescent="0.35">
      <c r="A131" s="54">
        <f t="shared" si="0"/>
        <v>2032</v>
      </c>
      <c r="B131" s="54" t="str">
        <f t="shared" si="1"/>
        <v>Q1</v>
      </c>
      <c r="C131" s="99">
        <v>48274</v>
      </c>
      <c r="D131" s="92" t="e">
        <f t="array" aca="1" ref="D131" ca="1">7000*(53%*0.4+47%*0.85)+2800*0.9*_xludf.IFS(B131="Q1",1.3,B131="Q2",0.7,B131="Q3",0.8,B131="Q4",1.2)</f>
        <v>#NAME?</v>
      </c>
      <c r="E131" s="92">
        <v>1795.8225544833335</v>
      </c>
      <c r="F131" s="92">
        <f t="shared" si="25"/>
        <v>0</v>
      </c>
      <c r="G131" s="92">
        <v>300</v>
      </c>
      <c r="H131" s="92"/>
      <c r="I131" s="92"/>
      <c r="J131" s="92" t="e">
        <f t="shared" ca="1" si="26"/>
        <v>#NAME?</v>
      </c>
      <c r="K131" s="92">
        <f t="shared" si="2"/>
        <v>0</v>
      </c>
      <c r="L131" s="92">
        <f>Financiamento!D140</f>
        <v>0</v>
      </c>
      <c r="M131" s="92">
        <f>Financiamento!C140</f>
        <v>0</v>
      </c>
      <c r="N131" s="92"/>
      <c r="O131" s="92"/>
      <c r="Q131" s="92" t="e">
        <f t="shared" ca="1" si="27"/>
        <v>#NAME?</v>
      </c>
      <c r="R131" s="92">
        <f t="shared" si="28"/>
        <v>-300</v>
      </c>
      <c r="S131" s="92" t="e">
        <f t="shared" ca="1" si="5"/>
        <v>#NAME?</v>
      </c>
      <c r="T131" s="92"/>
      <c r="U131" s="92" t="e">
        <f t="shared" ca="1" si="6"/>
        <v>#NAME?</v>
      </c>
      <c r="V131" s="92">
        <f t="shared" si="29"/>
        <v>0</v>
      </c>
      <c r="W131" s="92" t="e">
        <f t="shared" ca="1" si="8"/>
        <v>#NAME?</v>
      </c>
      <c r="X131" s="92" t="e">
        <f t="shared" ca="1" si="30"/>
        <v>#NAME?</v>
      </c>
      <c r="Y131" s="92" t="e">
        <f t="shared" ca="1" si="10"/>
        <v>#NAME?</v>
      </c>
      <c r="Z131" s="21"/>
      <c r="AA131" s="92" t="e">
        <f t="shared" ca="1" si="11"/>
        <v>#NAME?</v>
      </c>
      <c r="AB131" s="92">
        <f t="shared" si="31"/>
        <v>0</v>
      </c>
      <c r="AC131" s="92">
        <f t="shared" si="13"/>
        <v>0</v>
      </c>
      <c r="AD131" s="92">
        <f t="shared" si="32"/>
        <v>0</v>
      </c>
      <c r="AE131" s="92" t="e">
        <f t="shared" ca="1" si="15"/>
        <v>#NAME?</v>
      </c>
      <c r="AF131" s="92" t="e">
        <f t="shared" ca="1" si="23"/>
        <v>#NAME?</v>
      </c>
      <c r="AG131" s="92" t="e">
        <f t="shared" ca="1" si="16"/>
        <v>#NAME?</v>
      </c>
      <c r="AQ131" s="21" t="e">
        <f t="shared" ca="1" si="34"/>
        <v>#NAME?</v>
      </c>
      <c r="AR131" s="12" t="e">
        <f t="shared" ca="1" si="35"/>
        <v>#NAME?</v>
      </c>
    </row>
    <row r="132" spans="1:44" ht="15.75" customHeight="1" x14ac:dyDescent="0.35">
      <c r="A132" s="54">
        <f t="shared" si="0"/>
        <v>2032</v>
      </c>
      <c r="B132" s="54" t="str">
        <f t="shared" si="1"/>
        <v>Q2</v>
      </c>
      <c r="C132" s="99">
        <v>48305</v>
      </c>
      <c r="D132" s="92" t="e">
        <f t="array" aca="1" ref="D132" ca="1">7000*(53%*0.4+47%*0.85)+2800*0.9*_xludf.IFS(B132="Q1",1.3,B132="Q2",0.7,B132="Q3",0.8,B132="Q4",1.2)</f>
        <v>#NAME?</v>
      </c>
      <c r="E132" s="92">
        <v>1664.2664774351629</v>
      </c>
      <c r="F132" s="92">
        <f t="shared" si="25"/>
        <v>0</v>
      </c>
      <c r="G132" s="92">
        <v>300</v>
      </c>
      <c r="H132" s="92"/>
      <c r="I132" s="92"/>
      <c r="J132" s="92" t="e">
        <f t="shared" ca="1" si="26"/>
        <v>#NAME?</v>
      </c>
      <c r="K132" s="92">
        <f t="shared" si="2"/>
        <v>0</v>
      </c>
      <c r="L132" s="92">
        <f>Financiamento!D141</f>
        <v>0</v>
      </c>
      <c r="M132" s="92">
        <f>Financiamento!C141</f>
        <v>0</v>
      </c>
      <c r="N132" s="92"/>
      <c r="O132" s="92"/>
      <c r="Q132" s="92" t="e">
        <f t="shared" ca="1" si="27"/>
        <v>#NAME?</v>
      </c>
      <c r="R132" s="92">
        <f t="shared" si="28"/>
        <v>-300</v>
      </c>
      <c r="S132" s="92" t="e">
        <f t="shared" ca="1" si="5"/>
        <v>#NAME?</v>
      </c>
      <c r="T132" s="92"/>
      <c r="U132" s="92" t="e">
        <f t="shared" ca="1" si="6"/>
        <v>#NAME?</v>
      </c>
      <c r="V132" s="92">
        <f t="shared" si="29"/>
        <v>0</v>
      </c>
      <c r="W132" s="92" t="e">
        <f t="shared" ca="1" si="8"/>
        <v>#NAME?</v>
      </c>
      <c r="X132" s="92" t="e">
        <f t="shared" ca="1" si="30"/>
        <v>#NAME?</v>
      </c>
      <c r="Y132" s="92" t="e">
        <f t="shared" ca="1" si="10"/>
        <v>#NAME?</v>
      </c>
      <c r="Z132" s="21"/>
      <c r="AA132" s="92" t="e">
        <f t="shared" ca="1" si="11"/>
        <v>#NAME?</v>
      </c>
      <c r="AB132" s="92">
        <f t="shared" si="31"/>
        <v>0</v>
      </c>
      <c r="AC132" s="92">
        <f t="shared" si="13"/>
        <v>0</v>
      </c>
      <c r="AD132" s="92">
        <f t="shared" si="32"/>
        <v>0</v>
      </c>
      <c r="AE132" s="92" t="e">
        <f t="shared" ca="1" si="15"/>
        <v>#NAME?</v>
      </c>
      <c r="AF132" s="92" t="e">
        <f t="shared" ca="1" si="23"/>
        <v>#NAME?</v>
      </c>
      <c r="AG132" s="92" t="e">
        <f t="shared" ca="1" si="16"/>
        <v>#NAME?</v>
      </c>
      <c r="AQ132" s="21" t="e">
        <f t="shared" ca="1" si="34"/>
        <v>#NAME?</v>
      </c>
      <c r="AR132" s="12" t="e">
        <f t="shared" ca="1" si="35"/>
        <v>#NAME?</v>
      </c>
    </row>
    <row r="133" spans="1:44" ht="15.75" customHeight="1" x14ac:dyDescent="0.35">
      <c r="A133" s="54">
        <f t="shared" si="0"/>
        <v>2032</v>
      </c>
      <c r="B133" s="54" t="str">
        <f t="shared" si="1"/>
        <v>Q2</v>
      </c>
      <c r="C133" s="99">
        <v>48335</v>
      </c>
      <c r="D133" s="92" t="e">
        <f t="array" aca="1" ref="D133" ca="1">7000*(53%*0.4+47%*0.85)+2800*0.9*_xludf.IFS(B133="Q1",1.3,B133="Q2",0.7,B133="Q3",0.8,B133="Q4",1.2)</f>
        <v>#NAME?</v>
      </c>
      <c r="E133" s="92">
        <v>1603.5362565970781</v>
      </c>
      <c r="F133" s="92">
        <f t="shared" si="25"/>
        <v>0</v>
      </c>
      <c r="G133" s="92">
        <v>300</v>
      </c>
      <c r="H133" s="92"/>
      <c r="I133" s="92"/>
      <c r="J133" s="92" t="e">
        <f t="shared" ca="1" si="26"/>
        <v>#NAME?</v>
      </c>
      <c r="K133" s="92">
        <f t="shared" si="2"/>
        <v>0</v>
      </c>
      <c r="L133" s="92">
        <f>Financiamento!D142</f>
        <v>0</v>
      </c>
      <c r="M133" s="92">
        <f>Financiamento!C142</f>
        <v>0</v>
      </c>
      <c r="N133" s="92"/>
      <c r="O133" s="92"/>
      <c r="Q133" s="92" t="e">
        <f t="shared" ca="1" si="27"/>
        <v>#NAME?</v>
      </c>
      <c r="R133" s="92">
        <f t="shared" si="28"/>
        <v>-300</v>
      </c>
      <c r="S133" s="92" t="e">
        <f t="shared" ca="1" si="5"/>
        <v>#NAME?</v>
      </c>
      <c r="T133" s="92"/>
      <c r="U133" s="92" t="e">
        <f t="shared" ca="1" si="6"/>
        <v>#NAME?</v>
      </c>
      <c r="V133" s="92">
        <f t="shared" si="29"/>
        <v>0</v>
      </c>
      <c r="W133" s="92" t="e">
        <f t="shared" ca="1" si="8"/>
        <v>#NAME?</v>
      </c>
      <c r="X133" s="92" t="e">
        <f t="shared" ca="1" si="30"/>
        <v>#NAME?</v>
      </c>
      <c r="Y133" s="92" t="e">
        <f t="shared" ca="1" si="10"/>
        <v>#NAME?</v>
      </c>
      <c r="Z133" s="21"/>
      <c r="AA133" s="92" t="e">
        <f t="shared" ca="1" si="11"/>
        <v>#NAME?</v>
      </c>
      <c r="AB133" s="92">
        <f t="shared" si="31"/>
        <v>0</v>
      </c>
      <c r="AC133" s="92">
        <f t="shared" si="13"/>
        <v>0</v>
      </c>
      <c r="AD133" s="92">
        <f t="shared" si="32"/>
        <v>0</v>
      </c>
      <c r="AE133" s="92" t="e">
        <f t="shared" ca="1" si="15"/>
        <v>#NAME?</v>
      </c>
      <c r="AF133" s="92" t="e">
        <f t="shared" ca="1" si="23"/>
        <v>#NAME?</v>
      </c>
      <c r="AG133" s="92" t="e">
        <f t="shared" ca="1" si="16"/>
        <v>#NAME?</v>
      </c>
      <c r="AQ133" s="21" t="e">
        <f t="shared" ca="1" si="34"/>
        <v>#NAME?</v>
      </c>
      <c r="AR133" s="12" t="e">
        <f t="shared" ca="1" si="35"/>
        <v>#NAME?</v>
      </c>
    </row>
    <row r="134" spans="1:44" ht="15.75" customHeight="1" x14ac:dyDescent="0.35">
      <c r="A134" s="54">
        <f t="shared" si="0"/>
        <v>2032</v>
      </c>
      <c r="B134" s="54" t="str">
        <f t="shared" si="1"/>
        <v>Q2</v>
      </c>
      <c r="C134" s="99">
        <v>48366</v>
      </c>
      <c r="D134" s="92" t="e">
        <f t="array" aca="1" ref="D134" ca="1">7000*(53%*0.4+47%*0.85)+2800*0.9*_xludf.IFS(B134="Q1",1.3,B134="Q2",0.7,B134="Q3",0.8,B134="Q4",1.2)</f>
        <v>#NAME?</v>
      </c>
      <c r="E134" s="92">
        <v>1690.1091246003052</v>
      </c>
      <c r="F134" s="92">
        <f t="shared" si="25"/>
        <v>0</v>
      </c>
      <c r="G134" s="92">
        <v>300</v>
      </c>
      <c r="H134" s="92"/>
      <c r="I134" s="92"/>
      <c r="J134" s="92" t="e">
        <f t="shared" ca="1" si="26"/>
        <v>#NAME?</v>
      </c>
      <c r="K134" s="92">
        <f t="shared" si="2"/>
        <v>0</v>
      </c>
      <c r="L134" s="92">
        <f>Financiamento!D143</f>
        <v>0</v>
      </c>
      <c r="M134" s="92">
        <f>Financiamento!C143</f>
        <v>0</v>
      </c>
      <c r="N134" s="92"/>
      <c r="O134" s="92"/>
      <c r="Q134" s="92" t="e">
        <f t="shared" ca="1" si="27"/>
        <v>#NAME?</v>
      </c>
      <c r="R134" s="92">
        <f t="shared" si="28"/>
        <v>-300</v>
      </c>
      <c r="S134" s="92" t="e">
        <f t="shared" ca="1" si="5"/>
        <v>#NAME?</v>
      </c>
      <c r="T134" s="92"/>
      <c r="U134" s="92" t="e">
        <f t="shared" ca="1" si="6"/>
        <v>#NAME?</v>
      </c>
      <c r="V134" s="92">
        <f t="shared" si="29"/>
        <v>0</v>
      </c>
      <c r="W134" s="92" t="e">
        <f t="shared" ca="1" si="8"/>
        <v>#NAME?</v>
      </c>
      <c r="X134" s="92" t="e">
        <f t="shared" ca="1" si="30"/>
        <v>#NAME?</v>
      </c>
      <c r="Y134" s="92" t="e">
        <f t="shared" ca="1" si="10"/>
        <v>#NAME?</v>
      </c>
      <c r="Z134" s="21"/>
      <c r="AA134" s="92" t="e">
        <f t="shared" ca="1" si="11"/>
        <v>#NAME?</v>
      </c>
      <c r="AB134" s="92">
        <f t="shared" si="31"/>
        <v>0</v>
      </c>
      <c r="AC134" s="92">
        <f t="shared" si="13"/>
        <v>0</v>
      </c>
      <c r="AD134" s="92">
        <f t="shared" si="32"/>
        <v>0</v>
      </c>
      <c r="AE134" s="92" t="e">
        <f t="shared" ca="1" si="15"/>
        <v>#NAME?</v>
      </c>
      <c r="AF134" s="92" t="e">
        <f t="shared" ca="1" si="23"/>
        <v>#NAME?</v>
      </c>
      <c r="AG134" s="92" t="e">
        <f t="shared" ca="1" si="16"/>
        <v>#NAME?</v>
      </c>
      <c r="AQ134" s="21" t="e">
        <f t="shared" ca="1" si="34"/>
        <v>#NAME?</v>
      </c>
      <c r="AR134" s="12" t="e">
        <f t="shared" ca="1" si="35"/>
        <v>#NAME?</v>
      </c>
    </row>
    <row r="135" spans="1:44" ht="15.75" customHeight="1" x14ac:dyDescent="0.35">
      <c r="A135" s="54">
        <f t="shared" si="0"/>
        <v>2032</v>
      </c>
      <c r="B135" s="54" t="str">
        <f t="shared" si="1"/>
        <v>Q3</v>
      </c>
      <c r="C135" s="99">
        <v>48396</v>
      </c>
      <c r="D135" s="92" t="e">
        <f t="array" aca="1" ref="D135" ca="1">7000*(53%*0.4+47%*0.85)+2800*0.9*_xludf.IFS(B135="Q1",1.3,B135="Q2",0.7,B135="Q3",0.8,B135="Q4",1.2)</f>
        <v>#NAME?</v>
      </c>
      <c r="E135" s="92">
        <v>1557.0194916998221</v>
      </c>
      <c r="F135" s="92">
        <f t="shared" si="25"/>
        <v>0</v>
      </c>
      <c r="G135" s="92">
        <v>300</v>
      </c>
      <c r="H135" s="92"/>
      <c r="I135" s="92"/>
      <c r="J135" s="92" t="e">
        <f t="shared" ca="1" si="26"/>
        <v>#NAME?</v>
      </c>
      <c r="K135" s="92">
        <f t="shared" si="2"/>
        <v>0</v>
      </c>
      <c r="L135" s="92">
        <f>Financiamento!D144</f>
        <v>0</v>
      </c>
      <c r="M135" s="92">
        <f>Financiamento!C144</f>
        <v>0</v>
      </c>
      <c r="N135" s="92"/>
      <c r="O135" s="92"/>
      <c r="Q135" s="92" t="e">
        <f t="shared" ca="1" si="27"/>
        <v>#NAME?</v>
      </c>
      <c r="R135" s="92">
        <f t="shared" si="28"/>
        <v>-300</v>
      </c>
      <c r="S135" s="92" t="e">
        <f t="shared" ca="1" si="5"/>
        <v>#NAME?</v>
      </c>
      <c r="T135" s="92"/>
      <c r="U135" s="92" t="e">
        <f t="shared" ca="1" si="6"/>
        <v>#NAME?</v>
      </c>
      <c r="V135" s="92">
        <f t="shared" si="29"/>
        <v>0</v>
      </c>
      <c r="W135" s="92" t="e">
        <f t="shared" ca="1" si="8"/>
        <v>#NAME?</v>
      </c>
      <c r="X135" s="92" t="e">
        <f t="shared" ca="1" si="30"/>
        <v>#NAME?</v>
      </c>
      <c r="Y135" s="92" t="e">
        <f t="shared" ca="1" si="10"/>
        <v>#NAME?</v>
      </c>
      <c r="Z135" s="21"/>
      <c r="AA135" s="92" t="e">
        <f t="shared" ca="1" si="11"/>
        <v>#NAME?</v>
      </c>
      <c r="AB135" s="92">
        <f t="shared" si="31"/>
        <v>0</v>
      </c>
      <c r="AC135" s="92">
        <f t="shared" si="13"/>
        <v>0</v>
      </c>
      <c r="AD135" s="92">
        <f t="shared" si="32"/>
        <v>0</v>
      </c>
      <c r="AE135" s="92" t="e">
        <f t="shared" ca="1" si="15"/>
        <v>#NAME?</v>
      </c>
      <c r="AF135" s="92" t="e">
        <f t="shared" ca="1" si="23"/>
        <v>#NAME?</v>
      </c>
      <c r="AG135" s="92" t="e">
        <f t="shared" ca="1" si="16"/>
        <v>#NAME?</v>
      </c>
      <c r="AQ135" s="21" t="e">
        <f t="shared" ca="1" si="34"/>
        <v>#NAME?</v>
      </c>
      <c r="AR135" s="12" t="e">
        <f t="shared" ca="1" si="35"/>
        <v>#NAME?</v>
      </c>
    </row>
    <row r="136" spans="1:44" ht="15.75" customHeight="1" x14ac:dyDescent="0.35">
      <c r="A136" s="54">
        <f t="shared" si="0"/>
        <v>2032</v>
      </c>
      <c r="B136" s="54" t="str">
        <f t="shared" si="1"/>
        <v>Q3</v>
      </c>
      <c r="C136" s="99">
        <v>48427</v>
      </c>
      <c r="D136" s="92" t="e">
        <f t="array" aca="1" ref="D136" ca="1">7000*(53%*0.4+47%*0.85)+2800*0.9*_xludf.IFS(B136="Q1",1.3,B136="Q2",0.7,B136="Q3",0.8,B136="Q4",1.2)</f>
        <v>#NAME?</v>
      </c>
      <c r="E136" s="92">
        <v>1411.0085352167685</v>
      </c>
      <c r="F136" s="92">
        <f t="shared" si="25"/>
        <v>0</v>
      </c>
      <c r="G136" s="92">
        <v>300</v>
      </c>
      <c r="H136" s="92"/>
      <c r="I136" s="92"/>
      <c r="J136" s="92" t="e">
        <f t="shared" ca="1" si="26"/>
        <v>#NAME?</v>
      </c>
      <c r="K136" s="92">
        <f t="shared" si="2"/>
        <v>0</v>
      </c>
      <c r="L136" s="92">
        <f>Financiamento!D145</f>
        <v>0</v>
      </c>
      <c r="M136" s="92">
        <f>Financiamento!C145</f>
        <v>0</v>
      </c>
      <c r="N136" s="92"/>
      <c r="O136" s="92"/>
      <c r="Q136" s="92" t="e">
        <f t="shared" ca="1" si="27"/>
        <v>#NAME?</v>
      </c>
      <c r="R136" s="92">
        <f t="shared" si="28"/>
        <v>-300</v>
      </c>
      <c r="S136" s="92" t="e">
        <f t="shared" ca="1" si="5"/>
        <v>#NAME?</v>
      </c>
      <c r="T136" s="92"/>
      <c r="U136" s="92" t="e">
        <f t="shared" ca="1" si="6"/>
        <v>#NAME?</v>
      </c>
      <c r="V136" s="92">
        <f t="shared" si="29"/>
        <v>0</v>
      </c>
      <c r="W136" s="92" t="e">
        <f t="shared" ca="1" si="8"/>
        <v>#NAME?</v>
      </c>
      <c r="X136" s="92" t="e">
        <f t="shared" ca="1" si="30"/>
        <v>#NAME?</v>
      </c>
      <c r="Y136" s="92" t="e">
        <f t="shared" ca="1" si="10"/>
        <v>#NAME?</v>
      </c>
      <c r="Z136" s="21"/>
      <c r="AA136" s="92" t="e">
        <f t="shared" ca="1" si="11"/>
        <v>#NAME?</v>
      </c>
      <c r="AB136" s="92">
        <f t="shared" si="31"/>
        <v>0</v>
      </c>
      <c r="AC136" s="92">
        <f t="shared" si="13"/>
        <v>0</v>
      </c>
      <c r="AD136" s="92">
        <f t="shared" si="32"/>
        <v>0</v>
      </c>
      <c r="AE136" s="92" t="e">
        <f t="shared" ca="1" si="15"/>
        <v>#NAME?</v>
      </c>
      <c r="AF136" s="92" t="e">
        <f t="shared" ca="1" si="23"/>
        <v>#NAME?</v>
      </c>
      <c r="AG136" s="92" t="e">
        <f t="shared" ca="1" si="16"/>
        <v>#NAME?</v>
      </c>
      <c r="AQ136" s="21" t="e">
        <f t="shared" ca="1" si="34"/>
        <v>#NAME?</v>
      </c>
      <c r="AR136" s="12" t="e">
        <f t="shared" ca="1" si="35"/>
        <v>#NAME?</v>
      </c>
    </row>
    <row r="137" spans="1:44" ht="15.75" customHeight="1" x14ac:dyDescent="0.35">
      <c r="A137" s="54">
        <f t="shared" si="0"/>
        <v>2032</v>
      </c>
      <c r="B137" s="54" t="str">
        <f t="shared" si="1"/>
        <v>Q3</v>
      </c>
      <c r="C137" s="99">
        <v>48458</v>
      </c>
      <c r="D137" s="92" t="e">
        <f t="array" aca="1" ref="D137" ca="1">7000*(53%*0.4+47%*0.85)+2800*0.9*_xludf.IFS(B137="Q1",1.3,B137="Q2",0.7,B137="Q3",0.8,B137="Q4",1.2)</f>
        <v>#NAME?</v>
      </c>
      <c r="E137" s="92">
        <v>1351.570446736941</v>
      </c>
      <c r="F137" s="92">
        <f t="shared" si="25"/>
        <v>0</v>
      </c>
      <c r="G137" s="92">
        <v>300</v>
      </c>
      <c r="H137" s="92"/>
      <c r="I137" s="92"/>
      <c r="J137" s="92" t="e">
        <f t="shared" ca="1" si="26"/>
        <v>#NAME?</v>
      </c>
      <c r="K137" s="92">
        <f t="shared" si="2"/>
        <v>0</v>
      </c>
      <c r="L137" s="92">
        <f>Financiamento!D146</f>
        <v>0</v>
      </c>
      <c r="M137" s="92">
        <f>Financiamento!C146</f>
        <v>0</v>
      </c>
      <c r="N137" s="92"/>
      <c r="O137" s="92"/>
      <c r="Q137" s="92" t="e">
        <f t="shared" ca="1" si="27"/>
        <v>#NAME?</v>
      </c>
      <c r="R137" s="92">
        <f t="shared" si="28"/>
        <v>-300</v>
      </c>
      <c r="S137" s="92" t="e">
        <f t="shared" ca="1" si="5"/>
        <v>#NAME?</v>
      </c>
      <c r="T137" s="92"/>
      <c r="U137" s="92" t="e">
        <f t="shared" ca="1" si="6"/>
        <v>#NAME?</v>
      </c>
      <c r="V137" s="92">
        <f t="shared" si="29"/>
        <v>0</v>
      </c>
      <c r="W137" s="92" t="e">
        <f t="shared" ca="1" si="8"/>
        <v>#NAME?</v>
      </c>
      <c r="X137" s="92" t="e">
        <f t="shared" ca="1" si="30"/>
        <v>#NAME?</v>
      </c>
      <c r="Y137" s="92" t="e">
        <f t="shared" ca="1" si="10"/>
        <v>#NAME?</v>
      </c>
      <c r="Z137" s="21"/>
      <c r="AA137" s="92" t="e">
        <f t="shared" ca="1" si="11"/>
        <v>#NAME?</v>
      </c>
      <c r="AB137" s="92">
        <f t="shared" si="31"/>
        <v>0</v>
      </c>
      <c r="AC137" s="92">
        <f t="shared" si="13"/>
        <v>0</v>
      </c>
      <c r="AD137" s="92">
        <f t="shared" si="32"/>
        <v>0</v>
      </c>
      <c r="AE137" s="92" t="e">
        <f t="shared" ca="1" si="15"/>
        <v>#NAME?</v>
      </c>
      <c r="AF137" s="92" t="e">
        <f t="shared" ca="1" si="23"/>
        <v>#NAME?</v>
      </c>
      <c r="AG137" s="92" t="e">
        <f t="shared" ca="1" si="16"/>
        <v>#NAME?</v>
      </c>
      <c r="AQ137" s="21" t="e">
        <f t="shared" ca="1" si="34"/>
        <v>#NAME?</v>
      </c>
      <c r="AR137" s="12" t="e">
        <f t="shared" ca="1" si="35"/>
        <v>#NAME?</v>
      </c>
    </row>
    <row r="138" spans="1:44" ht="15.75" customHeight="1" x14ac:dyDescent="0.35">
      <c r="A138" s="54">
        <f t="shared" si="0"/>
        <v>2032</v>
      </c>
      <c r="B138" s="54" t="str">
        <f t="shared" si="1"/>
        <v>Q4</v>
      </c>
      <c r="C138" s="99">
        <v>48488</v>
      </c>
      <c r="D138" s="92" t="e">
        <f t="array" aca="1" ref="D138" ca="1">7000*(53%*0.4+47%*0.85)+2800*0.9*_xludf.IFS(B138="Q1",1.3,B138="Q2",0.7,B138="Q3",0.8,B138="Q4",1.2)</f>
        <v>#NAME?</v>
      </c>
      <c r="E138" s="92">
        <v>1443.3118441731963</v>
      </c>
      <c r="F138" s="92">
        <f t="shared" si="25"/>
        <v>0</v>
      </c>
      <c r="G138" s="92">
        <v>300</v>
      </c>
      <c r="H138" s="92"/>
      <c r="I138" s="92"/>
      <c r="J138" s="92" t="e">
        <f t="shared" ca="1" si="26"/>
        <v>#NAME?</v>
      </c>
      <c r="K138" s="92">
        <f t="shared" si="2"/>
        <v>0</v>
      </c>
      <c r="L138" s="92">
        <f>Financiamento!D147</f>
        <v>0</v>
      </c>
      <c r="M138" s="92">
        <f>Financiamento!C147</f>
        <v>0</v>
      </c>
      <c r="N138" s="92"/>
      <c r="O138" s="92"/>
      <c r="Q138" s="92" t="e">
        <f t="shared" ca="1" si="27"/>
        <v>#NAME?</v>
      </c>
      <c r="R138" s="92">
        <f t="shared" si="28"/>
        <v>-300</v>
      </c>
      <c r="S138" s="92" t="e">
        <f t="shared" ca="1" si="5"/>
        <v>#NAME?</v>
      </c>
      <c r="T138" s="92"/>
      <c r="U138" s="92" t="e">
        <f t="shared" ca="1" si="6"/>
        <v>#NAME?</v>
      </c>
      <c r="V138" s="92">
        <f t="shared" si="29"/>
        <v>0</v>
      </c>
      <c r="W138" s="92" t="e">
        <f t="shared" ca="1" si="8"/>
        <v>#NAME?</v>
      </c>
      <c r="X138" s="92" t="e">
        <f t="shared" ca="1" si="30"/>
        <v>#NAME?</v>
      </c>
      <c r="Y138" s="92" t="e">
        <f t="shared" ca="1" si="10"/>
        <v>#NAME?</v>
      </c>
      <c r="Z138" s="21"/>
      <c r="AA138" s="92" t="e">
        <f t="shared" ca="1" si="11"/>
        <v>#NAME?</v>
      </c>
      <c r="AB138" s="92">
        <f t="shared" si="31"/>
        <v>0</v>
      </c>
      <c r="AC138" s="92">
        <f t="shared" si="13"/>
        <v>0</v>
      </c>
      <c r="AD138" s="92">
        <f t="shared" si="32"/>
        <v>0</v>
      </c>
      <c r="AE138" s="92" t="e">
        <f t="shared" ca="1" si="15"/>
        <v>#NAME?</v>
      </c>
      <c r="AF138" s="92" t="e">
        <f t="shared" ca="1" si="23"/>
        <v>#NAME?</v>
      </c>
      <c r="AG138" s="92" t="e">
        <f t="shared" ca="1" si="16"/>
        <v>#NAME?</v>
      </c>
      <c r="AQ138" s="21" t="e">
        <f t="shared" ca="1" si="34"/>
        <v>#NAME?</v>
      </c>
      <c r="AR138" s="12" t="e">
        <f t="shared" ca="1" si="35"/>
        <v>#NAME?</v>
      </c>
    </row>
    <row r="139" spans="1:44" ht="15.75" customHeight="1" x14ac:dyDescent="0.35">
      <c r="A139" s="54">
        <f t="shared" si="0"/>
        <v>2032</v>
      </c>
      <c r="B139" s="54" t="str">
        <f t="shared" si="1"/>
        <v>Q4</v>
      </c>
      <c r="C139" s="99">
        <v>48519</v>
      </c>
      <c r="D139" s="92" t="e">
        <f t="array" aca="1" ref="D139" ca="1">7000*(53%*0.4+47%*0.85)+2800*0.9*_xludf.IFS(B139="Q1",1.3,B139="Q2",0.7,B139="Q3",0.8,B139="Q4",1.2)</f>
        <v>#NAME?</v>
      </c>
      <c r="E139" s="92">
        <v>1557.0194916998221</v>
      </c>
      <c r="F139" s="92">
        <f t="shared" si="25"/>
        <v>2000</v>
      </c>
      <c r="G139" s="92">
        <v>300</v>
      </c>
      <c r="H139" s="92"/>
      <c r="I139" s="92"/>
      <c r="J139" s="92" t="e">
        <f t="shared" ca="1" si="26"/>
        <v>#NAME?</v>
      </c>
      <c r="K139" s="92">
        <f t="shared" si="2"/>
        <v>0</v>
      </c>
      <c r="L139" s="92">
        <f>Financiamento!D148</f>
        <v>0</v>
      </c>
      <c r="M139" s="92">
        <f>Financiamento!C148</f>
        <v>0</v>
      </c>
      <c r="N139" s="92"/>
      <c r="O139" s="92"/>
      <c r="Q139" s="92" t="e">
        <f t="shared" ca="1" si="27"/>
        <v>#NAME?</v>
      </c>
      <c r="R139" s="92">
        <f t="shared" si="28"/>
        <v>-2300</v>
      </c>
      <c r="S139" s="92" t="e">
        <f t="shared" ca="1" si="5"/>
        <v>#NAME?</v>
      </c>
      <c r="T139" s="92"/>
      <c r="U139" s="92" t="e">
        <f t="shared" ca="1" si="6"/>
        <v>#NAME?</v>
      </c>
      <c r="V139" s="92">
        <f t="shared" si="29"/>
        <v>0</v>
      </c>
      <c r="W139" s="92" t="e">
        <f t="shared" ca="1" si="8"/>
        <v>#NAME?</v>
      </c>
      <c r="X139" s="92" t="e">
        <f t="shared" ca="1" si="30"/>
        <v>#NAME?</v>
      </c>
      <c r="Y139" s="92" t="e">
        <f t="shared" ca="1" si="10"/>
        <v>#NAME?</v>
      </c>
      <c r="Z139" s="21"/>
      <c r="AA139" s="92" t="e">
        <f t="shared" ca="1" si="11"/>
        <v>#NAME?</v>
      </c>
      <c r="AB139" s="92">
        <f t="shared" si="31"/>
        <v>0</v>
      </c>
      <c r="AC139" s="92">
        <f t="shared" si="13"/>
        <v>0</v>
      </c>
      <c r="AD139" s="92">
        <f t="shared" si="32"/>
        <v>0</v>
      </c>
      <c r="AE139" s="92" t="e">
        <f t="shared" ca="1" si="15"/>
        <v>#NAME?</v>
      </c>
      <c r="AF139" s="92" t="e">
        <f t="shared" ca="1" si="23"/>
        <v>#NAME?</v>
      </c>
      <c r="AG139" s="92" t="e">
        <f t="shared" ca="1" si="16"/>
        <v>#NAME?</v>
      </c>
      <c r="AQ139" s="21" t="e">
        <f t="shared" ca="1" si="34"/>
        <v>#NAME?</v>
      </c>
      <c r="AR139" s="12" t="e">
        <f t="shared" ca="1" si="35"/>
        <v>#NAME?</v>
      </c>
    </row>
    <row r="140" spans="1:44" ht="15.75" customHeight="1" x14ac:dyDescent="0.35">
      <c r="A140" s="54">
        <f t="shared" si="0"/>
        <v>2032</v>
      </c>
      <c r="B140" s="54" t="str">
        <f t="shared" si="1"/>
        <v>Q4</v>
      </c>
      <c r="C140" s="99">
        <v>48549</v>
      </c>
      <c r="D140" s="92" t="e">
        <f t="array" aca="1" ref="D140" ca="1">7000*(53%*0.4+47%*0.85)+2800*0.9*_xludf.IFS(B140="Q1",1.3,B140="Q2",0.7,B140="Q3",0.8,B140="Q4",1.2)</f>
        <v>#NAME?</v>
      </c>
      <c r="E140" s="92">
        <v>1473.0308884131098</v>
      </c>
      <c r="F140" s="92">
        <f t="shared" si="25"/>
        <v>0</v>
      </c>
      <c r="G140" s="92">
        <v>300</v>
      </c>
      <c r="H140" s="92"/>
      <c r="I140" s="92"/>
      <c r="J140" s="92" t="e">
        <f t="shared" ca="1" si="26"/>
        <v>#NAME?</v>
      </c>
      <c r="K140" s="92">
        <f t="shared" si="2"/>
        <v>0</v>
      </c>
      <c r="L140" s="92">
        <f>Financiamento!D149</f>
        <v>0</v>
      </c>
      <c r="M140" s="92">
        <f>Financiamento!C149</f>
        <v>0</v>
      </c>
      <c r="N140" s="92"/>
      <c r="O140" s="92"/>
      <c r="Q140" s="92" t="e">
        <f t="shared" ca="1" si="27"/>
        <v>#NAME?</v>
      </c>
      <c r="R140" s="92">
        <f t="shared" si="28"/>
        <v>-300</v>
      </c>
      <c r="S140" s="92" t="e">
        <f t="shared" ca="1" si="5"/>
        <v>#NAME?</v>
      </c>
      <c r="T140" s="92"/>
      <c r="U140" s="92" t="e">
        <f t="shared" ca="1" si="6"/>
        <v>#NAME?</v>
      </c>
      <c r="V140" s="92">
        <f t="shared" si="29"/>
        <v>0</v>
      </c>
      <c r="W140" s="92" t="e">
        <f t="shared" ca="1" si="8"/>
        <v>#NAME?</v>
      </c>
      <c r="X140" s="92" t="e">
        <f t="shared" ca="1" si="30"/>
        <v>#NAME?</v>
      </c>
      <c r="Y140" s="92" t="e">
        <f t="shared" ca="1" si="10"/>
        <v>#NAME?</v>
      </c>
      <c r="Z140" s="21"/>
      <c r="AA140" s="92" t="e">
        <f t="shared" ca="1" si="11"/>
        <v>#NAME?</v>
      </c>
      <c r="AB140" s="92">
        <f t="shared" si="31"/>
        <v>0</v>
      </c>
      <c r="AC140" s="92">
        <f t="shared" si="13"/>
        <v>0</v>
      </c>
      <c r="AD140" s="92">
        <f t="shared" si="32"/>
        <v>0</v>
      </c>
      <c r="AE140" s="92" t="e">
        <f t="shared" ca="1" si="15"/>
        <v>#NAME?</v>
      </c>
      <c r="AF140" s="92" t="e">
        <f t="shared" ca="1" si="23"/>
        <v>#NAME?</v>
      </c>
      <c r="AG140" s="92" t="e">
        <f t="shared" ca="1" si="16"/>
        <v>#NAME?</v>
      </c>
      <c r="AQ140" s="21" t="e">
        <f t="shared" ca="1" si="34"/>
        <v>#NAME?</v>
      </c>
      <c r="AR140" s="12" t="e">
        <f t="shared" ca="1" si="35"/>
        <v>#NAME?</v>
      </c>
    </row>
    <row r="141" spans="1:44" ht="15.75" customHeight="1" x14ac:dyDescent="0.35">
      <c r="A141" s="54">
        <f t="shared" si="0"/>
        <v>2033</v>
      </c>
      <c r="B141" s="54" t="str">
        <f t="shared" si="1"/>
        <v>Q1</v>
      </c>
      <c r="C141" s="99">
        <v>48580</v>
      </c>
      <c r="D141" s="92" t="e">
        <f t="array" aca="1" ref="D141" ca="1">7000*(53%*0.4+47%*0.85)+2800*0.9*_xludf.IFS(B141="Q1",1.3,B141="Q2",0.7,B141="Q3",0.8,B141="Q4",1.2)</f>
        <v>#NAME?</v>
      </c>
      <c r="E141" s="92">
        <v>1496.289270861738</v>
      </c>
      <c r="F141" s="92">
        <f t="shared" si="25"/>
        <v>0</v>
      </c>
      <c r="G141" s="92">
        <v>300</v>
      </c>
      <c r="H141" s="92"/>
      <c r="I141" s="92"/>
      <c r="J141" s="92" t="e">
        <f t="shared" ca="1" si="26"/>
        <v>#NAME?</v>
      </c>
      <c r="K141" s="92">
        <f t="shared" si="2"/>
        <v>0</v>
      </c>
      <c r="L141" s="92">
        <f>Financiamento!D150</f>
        <v>0</v>
      </c>
      <c r="M141" s="92">
        <f>Financiamento!C150</f>
        <v>0</v>
      </c>
      <c r="N141" s="92"/>
      <c r="O141" s="92"/>
      <c r="Q141" s="92" t="e">
        <f t="shared" ca="1" si="27"/>
        <v>#NAME?</v>
      </c>
      <c r="R141" s="92">
        <f t="shared" si="28"/>
        <v>-300</v>
      </c>
      <c r="S141" s="92" t="e">
        <f t="shared" ca="1" si="5"/>
        <v>#NAME?</v>
      </c>
      <c r="T141" s="92"/>
      <c r="U141" s="92" t="e">
        <f t="shared" ca="1" si="6"/>
        <v>#NAME?</v>
      </c>
      <c r="V141" s="92">
        <f t="shared" si="29"/>
        <v>0</v>
      </c>
      <c r="W141" s="92" t="e">
        <f t="shared" ca="1" si="8"/>
        <v>#NAME?</v>
      </c>
      <c r="X141" s="92" t="e">
        <f t="shared" ca="1" si="30"/>
        <v>#NAME?</v>
      </c>
      <c r="Y141" s="92" t="e">
        <f t="shared" ca="1" si="10"/>
        <v>#NAME?</v>
      </c>
      <c r="Z141" s="21"/>
      <c r="AA141" s="92" t="e">
        <f t="shared" ca="1" si="11"/>
        <v>#NAME?</v>
      </c>
      <c r="AB141" s="92">
        <f t="shared" si="31"/>
        <v>0</v>
      </c>
      <c r="AC141" s="92">
        <f t="shared" si="13"/>
        <v>0</v>
      </c>
      <c r="AD141" s="92">
        <f t="shared" si="32"/>
        <v>0</v>
      </c>
      <c r="AE141" s="92" t="e">
        <f t="shared" ca="1" si="15"/>
        <v>#NAME?</v>
      </c>
      <c r="AF141" s="92" t="e">
        <f t="shared" ca="1" si="23"/>
        <v>#NAME?</v>
      </c>
      <c r="AG141" s="92" t="e">
        <f t="shared" ca="1" si="16"/>
        <v>#NAME?</v>
      </c>
      <c r="AQ141" s="21" t="e">
        <f t="shared" ca="1" si="34"/>
        <v>#NAME?</v>
      </c>
      <c r="AR141" s="12" t="e">
        <f t="shared" ca="1" si="35"/>
        <v>#NAME?</v>
      </c>
    </row>
    <row r="142" spans="1:44" ht="15.75" customHeight="1" x14ac:dyDescent="0.35">
      <c r="A142" s="54">
        <f t="shared" si="0"/>
        <v>2033</v>
      </c>
      <c r="B142" s="54" t="str">
        <f t="shared" si="1"/>
        <v>Q1</v>
      </c>
      <c r="C142" s="99">
        <v>48611</v>
      </c>
      <c r="D142" s="92" t="e">
        <f t="array" aca="1" ref="D142" ca="1">7000*(53%*0.4+47%*0.85)+2800*0.9*_xludf.IFS(B142="Q1",1.3,B142="Q2",0.7,B142="Q3",0.8,B142="Q4",1.2)</f>
        <v>#NAME?</v>
      </c>
      <c r="E142" s="92">
        <v>1435.5590500236538</v>
      </c>
      <c r="F142" s="92">
        <f t="shared" si="25"/>
        <v>0</v>
      </c>
      <c r="G142" s="92">
        <v>300</v>
      </c>
      <c r="H142" s="92"/>
      <c r="I142" s="92"/>
      <c r="J142" s="92" t="e">
        <f t="shared" ca="1" si="26"/>
        <v>#NAME?</v>
      </c>
      <c r="K142" s="92">
        <f t="shared" si="2"/>
        <v>0</v>
      </c>
      <c r="L142" s="92">
        <f>Financiamento!D151</f>
        <v>0</v>
      </c>
      <c r="M142" s="92">
        <f>Financiamento!C151</f>
        <v>0</v>
      </c>
      <c r="N142" s="92"/>
      <c r="O142" s="92"/>
      <c r="Q142" s="92" t="e">
        <f t="shared" ca="1" si="27"/>
        <v>#NAME?</v>
      </c>
      <c r="R142" s="92">
        <f t="shared" si="28"/>
        <v>-300</v>
      </c>
      <c r="S142" s="92" t="e">
        <f t="shared" ca="1" si="5"/>
        <v>#NAME?</v>
      </c>
      <c r="T142" s="92"/>
      <c r="U142" s="92" t="e">
        <f t="shared" ca="1" si="6"/>
        <v>#NAME?</v>
      </c>
      <c r="V142" s="92">
        <f t="shared" si="29"/>
        <v>0</v>
      </c>
      <c r="W142" s="92" t="e">
        <f t="shared" ca="1" si="8"/>
        <v>#NAME?</v>
      </c>
      <c r="X142" s="92" t="e">
        <f t="shared" ca="1" si="30"/>
        <v>#NAME?</v>
      </c>
      <c r="Y142" s="92" t="e">
        <f t="shared" ca="1" si="10"/>
        <v>#NAME?</v>
      </c>
      <c r="Z142" s="21"/>
      <c r="AA142" s="92" t="e">
        <f t="shared" ca="1" si="11"/>
        <v>#NAME?</v>
      </c>
      <c r="AB142" s="92">
        <f t="shared" si="31"/>
        <v>0</v>
      </c>
      <c r="AC142" s="92">
        <f t="shared" si="13"/>
        <v>0</v>
      </c>
      <c r="AD142" s="92">
        <f t="shared" si="32"/>
        <v>0</v>
      </c>
      <c r="AE142" s="92" t="e">
        <f t="shared" ca="1" si="15"/>
        <v>#NAME?</v>
      </c>
      <c r="AF142" s="92" t="e">
        <f t="shared" ca="1" si="23"/>
        <v>#NAME?</v>
      </c>
      <c r="AG142" s="92" t="e">
        <f t="shared" ca="1" si="16"/>
        <v>#NAME?</v>
      </c>
      <c r="AQ142" s="21" t="e">
        <f t="shared" ca="1" si="34"/>
        <v>#NAME?</v>
      </c>
      <c r="AR142" s="12" t="e">
        <f t="shared" ca="1" si="35"/>
        <v>#NAME?</v>
      </c>
    </row>
    <row r="143" spans="1:44" ht="15.75" customHeight="1" x14ac:dyDescent="0.35">
      <c r="A143" s="54">
        <f t="shared" si="0"/>
        <v>2033</v>
      </c>
      <c r="B143" s="54" t="str">
        <f t="shared" si="1"/>
        <v>Q1</v>
      </c>
      <c r="C143" s="99">
        <v>48639</v>
      </c>
      <c r="D143" s="92" t="e">
        <f t="array" aca="1" ref="D143" ca="1">7000*(53%*0.4+47%*0.85)+2800*0.9*_xludf.IFS(B143="Q1",1.3,B143="Q2",0.7,B143="Q3",0.8,B143="Q4",1.2)</f>
        <v>#NAME?</v>
      </c>
      <c r="E143" s="92">
        <v>1567.3565505658792</v>
      </c>
      <c r="F143" s="92">
        <f t="shared" si="25"/>
        <v>0</v>
      </c>
      <c r="G143" s="92">
        <v>300</v>
      </c>
      <c r="H143" s="92"/>
      <c r="I143" s="92"/>
      <c r="J143" s="92" t="e">
        <f t="shared" ca="1" si="26"/>
        <v>#NAME?</v>
      </c>
      <c r="K143" s="92">
        <f t="shared" si="2"/>
        <v>0</v>
      </c>
      <c r="L143" s="92">
        <f>Financiamento!D152</f>
        <v>0</v>
      </c>
      <c r="M143" s="92">
        <f>Financiamento!C152</f>
        <v>0</v>
      </c>
      <c r="N143" s="92"/>
      <c r="O143" s="92"/>
      <c r="Q143" s="92" t="e">
        <f t="shared" ca="1" si="27"/>
        <v>#NAME?</v>
      </c>
      <c r="R143" s="92">
        <f t="shared" si="28"/>
        <v>-300</v>
      </c>
      <c r="S143" s="92" t="e">
        <f t="shared" ca="1" si="5"/>
        <v>#NAME?</v>
      </c>
      <c r="T143" s="92"/>
      <c r="U143" s="92" t="e">
        <f t="shared" ca="1" si="6"/>
        <v>#NAME?</v>
      </c>
      <c r="V143" s="92">
        <f t="shared" si="29"/>
        <v>0</v>
      </c>
      <c r="W143" s="92" t="e">
        <f t="shared" ca="1" si="8"/>
        <v>#NAME?</v>
      </c>
      <c r="X143" s="92" t="e">
        <f t="shared" ca="1" si="30"/>
        <v>#NAME?</v>
      </c>
      <c r="Y143" s="92" t="e">
        <f t="shared" ca="1" si="10"/>
        <v>#NAME?</v>
      </c>
      <c r="Z143" s="21"/>
      <c r="AA143" s="92" t="e">
        <f t="shared" ca="1" si="11"/>
        <v>#NAME?</v>
      </c>
      <c r="AB143" s="92">
        <f t="shared" si="31"/>
        <v>0</v>
      </c>
      <c r="AC143" s="92">
        <f t="shared" si="13"/>
        <v>0</v>
      </c>
      <c r="AD143" s="92">
        <f t="shared" si="32"/>
        <v>0</v>
      </c>
      <c r="AE143" s="92" t="e">
        <f t="shared" ca="1" si="15"/>
        <v>#NAME?</v>
      </c>
      <c r="AF143" s="92" t="e">
        <f t="shared" ca="1" si="23"/>
        <v>#NAME?</v>
      </c>
      <c r="AG143" s="92" t="e">
        <f t="shared" ca="1" si="16"/>
        <v>#NAME?</v>
      </c>
      <c r="AQ143" s="21" t="e">
        <f t="shared" ca="1" si="34"/>
        <v>#NAME?</v>
      </c>
      <c r="AR143" s="12" t="e">
        <f t="shared" ca="1" si="35"/>
        <v>#NAME?</v>
      </c>
    </row>
    <row r="144" spans="1:44" ht="15.75" customHeight="1" x14ac:dyDescent="0.35">
      <c r="A144" s="54">
        <f t="shared" si="0"/>
        <v>2033</v>
      </c>
      <c r="B144" s="54" t="str">
        <f t="shared" si="1"/>
        <v>Q2</v>
      </c>
      <c r="C144" s="99">
        <v>48670</v>
      </c>
      <c r="D144" s="92" t="e">
        <f t="array" aca="1" ref="D144" ca="1">7000*(53%*0.4+47%*0.85)+2800*0.9*_xludf.IFS(B144="Q1",1.3,B144="Q2",0.7,B144="Q3",0.8,B144="Q4",1.2)</f>
        <v>#NAME?</v>
      </c>
      <c r="E144" s="92">
        <v>1422.8843165857877</v>
      </c>
      <c r="F144" s="92">
        <f t="shared" si="25"/>
        <v>0</v>
      </c>
      <c r="G144" s="92">
        <v>300</v>
      </c>
      <c r="H144" s="92"/>
      <c r="I144" s="92"/>
      <c r="J144" s="92" t="e">
        <f t="shared" ca="1" si="26"/>
        <v>#NAME?</v>
      </c>
      <c r="K144" s="92">
        <f t="shared" si="2"/>
        <v>0</v>
      </c>
      <c r="L144" s="92">
        <f>Financiamento!D153</f>
        <v>0</v>
      </c>
      <c r="M144" s="92">
        <f>Financiamento!C153</f>
        <v>0</v>
      </c>
      <c r="N144" s="92"/>
      <c r="O144" s="92"/>
      <c r="Q144" s="92" t="e">
        <f t="shared" ca="1" si="27"/>
        <v>#NAME?</v>
      </c>
      <c r="R144" s="92">
        <f t="shared" si="28"/>
        <v>-300</v>
      </c>
      <c r="S144" s="92" t="e">
        <f t="shared" ca="1" si="5"/>
        <v>#NAME?</v>
      </c>
      <c r="T144" s="92"/>
      <c r="U144" s="92" t="e">
        <f t="shared" ca="1" si="6"/>
        <v>#NAME?</v>
      </c>
      <c r="V144" s="92">
        <f t="shared" si="29"/>
        <v>0</v>
      </c>
      <c r="W144" s="92" t="e">
        <f t="shared" ca="1" si="8"/>
        <v>#NAME?</v>
      </c>
      <c r="X144" s="92" t="e">
        <f t="shared" ca="1" si="30"/>
        <v>#NAME?</v>
      </c>
      <c r="Y144" s="92" t="e">
        <f t="shared" ca="1" si="10"/>
        <v>#NAME?</v>
      </c>
      <c r="Z144" s="21"/>
      <c r="AA144" s="92" t="e">
        <f t="shared" ca="1" si="11"/>
        <v>#NAME?</v>
      </c>
      <c r="AB144" s="92">
        <f t="shared" si="31"/>
        <v>0</v>
      </c>
      <c r="AC144" s="92">
        <f t="shared" si="13"/>
        <v>0</v>
      </c>
      <c r="AD144" s="92">
        <f t="shared" si="32"/>
        <v>0</v>
      </c>
      <c r="AE144" s="92" t="e">
        <f t="shared" ca="1" si="15"/>
        <v>#NAME?</v>
      </c>
      <c r="AF144" s="92" t="e">
        <f t="shared" ca="1" si="23"/>
        <v>#NAME?</v>
      </c>
      <c r="AG144" s="92" t="e">
        <f t="shared" ca="1" si="16"/>
        <v>#NAME?</v>
      </c>
      <c r="AQ144" s="21" t="e">
        <f t="shared" ca="1" si="34"/>
        <v>#NAME?</v>
      </c>
      <c r="AR144" s="12" t="e">
        <f t="shared" ca="1" si="35"/>
        <v>#NAME?</v>
      </c>
    </row>
    <row r="145" spans="1:44" ht="15.75" customHeight="1" x14ac:dyDescent="0.35">
      <c r="A145" s="54">
        <f t="shared" si="0"/>
        <v>2033</v>
      </c>
      <c r="B145" s="54" t="str">
        <f t="shared" si="1"/>
        <v>Q2</v>
      </c>
      <c r="C145" s="99">
        <v>48700</v>
      </c>
      <c r="D145" s="92" t="e">
        <f t="array" aca="1" ref="D145" ca="1">7000*(53%*0.4+47%*0.85)+2800*0.9*_xludf.IFS(B145="Q1",1.3,B145="Q2",0.7,B145="Q3",0.8,B145="Q4",1.2)</f>
        <v>#NAME?</v>
      </c>
      <c r="E145" s="92">
        <v>1370.9622957165864</v>
      </c>
      <c r="F145" s="92">
        <f t="shared" si="25"/>
        <v>0</v>
      </c>
      <c r="G145" s="92">
        <v>300</v>
      </c>
      <c r="H145" s="92"/>
      <c r="I145" s="92"/>
      <c r="J145" s="92" t="e">
        <f t="shared" ca="1" si="26"/>
        <v>#NAME?</v>
      </c>
      <c r="K145" s="92">
        <f t="shared" si="2"/>
        <v>0</v>
      </c>
      <c r="L145" s="92">
        <f>Financiamento!D154</f>
        <v>0</v>
      </c>
      <c r="M145" s="92">
        <f>Financiamento!C154</f>
        <v>0</v>
      </c>
      <c r="N145" s="92"/>
      <c r="O145" s="92"/>
      <c r="Q145" s="92" t="e">
        <f t="shared" ca="1" si="27"/>
        <v>#NAME?</v>
      </c>
      <c r="R145" s="92">
        <f t="shared" si="28"/>
        <v>-300</v>
      </c>
      <c r="S145" s="92" t="e">
        <f t="shared" ca="1" si="5"/>
        <v>#NAME?</v>
      </c>
      <c r="T145" s="92"/>
      <c r="U145" s="92" t="e">
        <f t="shared" ca="1" si="6"/>
        <v>#NAME?</v>
      </c>
      <c r="V145" s="92">
        <f t="shared" si="29"/>
        <v>0</v>
      </c>
      <c r="W145" s="92" t="e">
        <f t="shared" ca="1" si="8"/>
        <v>#NAME?</v>
      </c>
      <c r="X145" s="92" t="e">
        <f t="shared" ca="1" si="30"/>
        <v>#NAME?</v>
      </c>
      <c r="Y145" s="92" t="e">
        <f t="shared" ca="1" si="10"/>
        <v>#NAME?</v>
      </c>
      <c r="Z145" s="21"/>
      <c r="AA145" s="92" t="e">
        <f t="shared" ca="1" si="11"/>
        <v>#NAME?</v>
      </c>
      <c r="AB145" s="92">
        <f t="shared" si="31"/>
        <v>0</v>
      </c>
      <c r="AC145" s="92">
        <f t="shared" si="13"/>
        <v>0</v>
      </c>
      <c r="AD145" s="92">
        <f t="shared" si="32"/>
        <v>0</v>
      </c>
      <c r="AE145" s="92" t="e">
        <f t="shared" ca="1" si="15"/>
        <v>#NAME?</v>
      </c>
      <c r="AF145" s="92" t="e">
        <f t="shared" ca="1" si="23"/>
        <v>#NAME?</v>
      </c>
      <c r="AG145" s="92" t="e">
        <f t="shared" ca="1" si="16"/>
        <v>#NAME?</v>
      </c>
      <c r="AQ145" s="21" t="e">
        <f t="shared" ca="1" si="34"/>
        <v>#NAME?</v>
      </c>
      <c r="AR145" s="12" t="e">
        <f t="shared" ca="1" si="35"/>
        <v>#NAME?</v>
      </c>
    </row>
    <row r="146" spans="1:44" ht="15.75" customHeight="1" x14ac:dyDescent="0.35">
      <c r="A146" s="54">
        <f t="shared" si="0"/>
        <v>2033</v>
      </c>
      <c r="B146" s="54" t="str">
        <f t="shared" si="1"/>
        <v>Q2</v>
      </c>
      <c r="C146" s="99">
        <v>48731</v>
      </c>
      <c r="D146" s="92" t="e">
        <f t="array" aca="1" ref="D146" ca="1">7000*(53%*0.4+47%*0.85)+2800*0.9*_xludf.IFS(B146="Q1",1.3,B146="Q2",0.7,B146="Q3",0.8,B146="Q4",1.2)</f>
        <v>#NAME?</v>
      </c>
      <c r="E146" s="92">
        <v>1444.9787935514057</v>
      </c>
      <c r="F146" s="92">
        <f t="shared" si="25"/>
        <v>0</v>
      </c>
      <c r="G146" s="92">
        <v>300</v>
      </c>
      <c r="H146" s="92"/>
      <c r="I146" s="92"/>
      <c r="J146" s="92" t="e">
        <f t="shared" ca="1" si="26"/>
        <v>#NAME?</v>
      </c>
      <c r="K146" s="92">
        <f t="shared" si="2"/>
        <v>0</v>
      </c>
      <c r="L146" s="92">
        <f>Financiamento!D155</f>
        <v>0</v>
      </c>
      <c r="M146" s="92">
        <f>Financiamento!C155</f>
        <v>0</v>
      </c>
      <c r="N146" s="92"/>
      <c r="O146" s="92"/>
      <c r="Q146" s="92" t="e">
        <f t="shared" ca="1" si="27"/>
        <v>#NAME?</v>
      </c>
      <c r="R146" s="92">
        <f t="shared" si="28"/>
        <v>-300</v>
      </c>
      <c r="S146" s="92" t="e">
        <f t="shared" ca="1" si="5"/>
        <v>#NAME?</v>
      </c>
      <c r="T146" s="92"/>
      <c r="U146" s="92" t="e">
        <f t="shared" ca="1" si="6"/>
        <v>#NAME?</v>
      </c>
      <c r="V146" s="92">
        <f t="shared" si="29"/>
        <v>0</v>
      </c>
      <c r="W146" s="92" t="e">
        <f t="shared" ca="1" si="8"/>
        <v>#NAME?</v>
      </c>
      <c r="X146" s="92" t="e">
        <f t="shared" ca="1" si="30"/>
        <v>#NAME?</v>
      </c>
      <c r="Y146" s="92" t="e">
        <f t="shared" ca="1" si="10"/>
        <v>#NAME?</v>
      </c>
      <c r="Z146" s="21"/>
      <c r="AA146" s="92" t="e">
        <f t="shared" ca="1" si="11"/>
        <v>#NAME?</v>
      </c>
      <c r="AB146" s="92">
        <f t="shared" si="31"/>
        <v>0</v>
      </c>
      <c r="AC146" s="92">
        <f t="shared" si="13"/>
        <v>0</v>
      </c>
      <c r="AD146" s="92">
        <f t="shared" si="32"/>
        <v>0</v>
      </c>
      <c r="AE146" s="92" t="e">
        <f t="shared" ca="1" si="15"/>
        <v>#NAME?</v>
      </c>
      <c r="AF146" s="92" t="e">
        <f t="shared" ca="1" si="23"/>
        <v>#NAME?</v>
      </c>
      <c r="AG146" s="92" t="e">
        <f t="shared" ca="1" si="16"/>
        <v>#NAME?</v>
      </c>
      <c r="AQ146" s="21" t="e">
        <f t="shared" ca="1" si="34"/>
        <v>#NAME?</v>
      </c>
      <c r="AR146" s="12" t="e">
        <f t="shared" ca="1" si="35"/>
        <v>#NAME?</v>
      </c>
    </row>
    <row r="147" spans="1:44" ht="15.75" customHeight="1" x14ac:dyDescent="0.35">
      <c r="A147" s="54">
        <f t="shared" si="0"/>
        <v>2033</v>
      </c>
      <c r="B147" s="54" t="str">
        <f t="shared" si="1"/>
        <v>Q3</v>
      </c>
      <c r="C147" s="99">
        <v>48761</v>
      </c>
      <c r="D147" s="92" t="e">
        <f t="array" aca="1" ref="D147" ca="1">7000*(53%*0.4+47%*0.85)+2800*0.9*_xludf.IFS(B147="Q1",1.3,B147="Q2",0.7,B147="Q3",0.8,B147="Q4",1.2)</f>
        <v>#NAME?</v>
      </c>
      <c r="E147" s="92">
        <v>1331.1922371784738</v>
      </c>
      <c r="F147" s="92">
        <f t="shared" si="25"/>
        <v>0</v>
      </c>
      <c r="G147" s="92">
        <v>300</v>
      </c>
      <c r="H147" s="92"/>
      <c r="I147" s="92"/>
      <c r="J147" s="92" t="e">
        <f t="shared" ca="1" si="26"/>
        <v>#NAME?</v>
      </c>
      <c r="K147" s="92">
        <f t="shared" si="2"/>
        <v>0</v>
      </c>
      <c r="L147" s="92">
        <f>Financiamento!D156</f>
        <v>0</v>
      </c>
      <c r="M147" s="92">
        <f>Financiamento!C156</f>
        <v>0</v>
      </c>
      <c r="N147" s="92"/>
      <c r="O147" s="92"/>
      <c r="Q147" s="92" t="e">
        <f t="shared" ca="1" si="27"/>
        <v>#NAME?</v>
      </c>
      <c r="R147" s="92">
        <f t="shared" si="28"/>
        <v>-300</v>
      </c>
      <c r="S147" s="92" t="e">
        <f t="shared" ca="1" si="5"/>
        <v>#NAME?</v>
      </c>
      <c r="T147" s="92"/>
      <c r="U147" s="92" t="e">
        <f t="shared" ca="1" si="6"/>
        <v>#NAME?</v>
      </c>
      <c r="V147" s="92">
        <f t="shared" si="29"/>
        <v>0</v>
      </c>
      <c r="W147" s="92" t="e">
        <f t="shared" ca="1" si="8"/>
        <v>#NAME?</v>
      </c>
      <c r="X147" s="92" t="e">
        <f t="shared" ca="1" si="30"/>
        <v>#NAME?</v>
      </c>
      <c r="Y147" s="92" t="e">
        <f t="shared" ca="1" si="10"/>
        <v>#NAME?</v>
      </c>
      <c r="Z147" s="21"/>
      <c r="AA147" s="92" t="e">
        <f t="shared" ca="1" si="11"/>
        <v>#NAME?</v>
      </c>
      <c r="AB147" s="92">
        <f t="shared" si="31"/>
        <v>0</v>
      </c>
      <c r="AC147" s="92">
        <f t="shared" si="13"/>
        <v>0</v>
      </c>
      <c r="AD147" s="92">
        <f t="shared" si="32"/>
        <v>0</v>
      </c>
      <c r="AE147" s="92" t="e">
        <f t="shared" ca="1" si="15"/>
        <v>#NAME?</v>
      </c>
      <c r="AF147" s="92" t="e">
        <f t="shared" ca="1" si="23"/>
        <v>#NAME?</v>
      </c>
      <c r="AG147" s="92" t="e">
        <f t="shared" ca="1" si="16"/>
        <v>#NAME?</v>
      </c>
      <c r="AQ147" s="21" t="e">
        <f t="shared" ca="1" si="34"/>
        <v>#NAME?</v>
      </c>
      <c r="AR147" s="12" t="e">
        <f t="shared" ca="1" si="35"/>
        <v>#NAME?</v>
      </c>
    </row>
    <row r="148" spans="1:44" ht="15.75" customHeight="1" x14ac:dyDescent="0.35">
      <c r="A148" s="54">
        <f t="shared" si="0"/>
        <v>2033</v>
      </c>
      <c r="B148" s="54" t="str">
        <f t="shared" si="1"/>
        <v>Q3</v>
      </c>
      <c r="C148" s="99">
        <v>48792</v>
      </c>
      <c r="D148" s="92" t="e">
        <f t="array" aca="1" ref="D148" ca="1">7000*(53%*0.4+47%*0.85)+2800*0.9*_xludf.IFS(B148="Q1",1.3,B148="Q2",0.7,B148="Q3",0.8,B148="Q4",1.2)</f>
        <v>#NAME?</v>
      </c>
      <c r="E148" s="92">
        <v>1206.3584423227333</v>
      </c>
      <c r="F148" s="92">
        <f t="shared" si="25"/>
        <v>0</v>
      </c>
      <c r="G148" s="92">
        <v>300</v>
      </c>
      <c r="H148" s="92"/>
      <c r="I148" s="92"/>
      <c r="J148" s="92" t="e">
        <f t="shared" ca="1" si="26"/>
        <v>#NAME?</v>
      </c>
      <c r="K148" s="92">
        <f t="shared" si="2"/>
        <v>0</v>
      </c>
      <c r="L148" s="92">
        <f>Financiamento!D157</f>
        <v>0</v>
      </c>
      <c r="M148" s="92">
        <f>Financiamento!C157</f>
        <v>0</v>
      </c>
      <c r="N148" s="92"/>
      <c r="O148" s="92"/>
      <c r="Q148" s="92" t="e">
        <f t="shared" ca="1" si="27"/>
        <v>#NAME?</v>
      </c>
      <c r="R148" s="92">
        <f t="shared" si="28"/>
        <v>-300</v>
      </c>
      <c r="S148" s="92" t="e">
        <f t="shared" ca="1" si="5"/>
        <v>#NAME?</v>
      </c>
      <c r="T148" s="92"/>
      <c r="U148" s="92" t="e">
        <f t="shared" ca="1" si="6"/>
        <v>#NAME?</v>
      </c>
      <c r="V148" s="92">
        <f t="shared" si="29"/>
        <v>0</v>
      </c>
      <c r="W148" s="92" t="e">
        <f t="shared" ca="1" si="8"/>
        <v>#NAME?</v>
      </c>
      <c r="X148" s="92" t="e">
        <f t="shared" ca="1" si="30"/>
        <v>#NAME?</v>
      </c>
      <c r="Y148" s="92" t="e">
        <f t="shared" ca="1" si="10"/>
        <v>#NAME?</v>
      </c>
      <c r="Z148" s="21"/>
      <c r="AA148" s="92" t="e">
        <f t="shared" ca="1" si="11"/>
        <v>#NAME?</v>
      </c>
      <c r="AB148" s="92">
        <f t="shared" si="31"/>
        <v>0</v>
      </c>
      <c r="AC148" s="92">
        <f t="shared" si="13"/>
        <v>0</v>
      </c>
      <c r="AD148" s="92">
        <f t="shared" si="32"/>
        <v>0</v>
      </c>
      <c r="AE148" s="92" t="e">
        <f t="shared" ca="1" si="15"/>
        <v>#NAME?</v>
      </c>
      <c r="AF148" s="92" t="e">
        <f t="shared" ca="1" si="23"/>
        <v>#NAME?</v>
      </c>
      <c r="AG148" s="92" t="e">
        <f t="shared" ca="1" si="16"/>
        <v>#NAME?</v>
      </c>
      <c r="AQ148" s="21" t="e">
        <f t="shared" ca="1" si="34"/>
        <v>#NAME?</v>
      </c>
      <c r="AR148" s="12" t="e">
        <f t="shared" ca="1" si="35"/>
        <v>#NAME?</v>
      </c>
    </row>
    <row r="149" spans="1:44" ht="15.75" customHeight="1" x14ac:dyDescent="0.35">
      <c r="A149" s="54">
        <f t="shared" si="0"/>
        <v>2033</v>
      </c>
      <c r="B149" s="54" t="str">
        <f t="shared" si="1"/>
        <v>Q3</v>
      </c>
      <c r="C149" s="99">
        <v>48823</v>
      </c>
      <c r="D149" s="92" t="e">
        <f t="array" aca="1" ref="D149" ca="1">7000*(53%*0.4+47%*0.85)+2800*0.9*_xludf.IFS(B149="Q1",1.3,B149="Q2",0.7,B149="Q3",0.8,B149="Q4",1.2)</f>
        <v>#NAME?</v>
      </c>
      <c r="E149" s="92">
        <v>1155.5411453018121</v>
      </c>
      <c r="F149" s="92">
        <f t="shared" si="25"/>
        <v>0</v>
      </c>
      <c r="G149" s="92">
        <v>300</v>
      </c>
      <c r="H149" s="92"/>
      <c r="I149" s="92"/>
      <c r="J149" s="92" t="e">
        <f t="shared" ca="1" si="26"/>
        <v>#NAME?</v>
      </c>
      <c r="K149" s="92">
        <f t="shared" si="2"/>
        <v>0</v>
      </c>
      <c r="L149" s="92">
        <f>Financiamento!D158</f>
        <v>0</v>
      </c>
      <c r="M149" s="92">
        <f>Financiamento!C158</f>
        <v>0</v>
      </c>
      <c r="N149" s="92"/>
      <c r="O149" s="92"/>
      <c r="Q149" s="92" t="e">
        <f t="shared" ca="1" si="27"/>
        <v>#NAME?</v>
      </c>
      <c r="R149" s="92">
        <f t="shared" si="28"/>
        <v>-300</v>
      </c>
      <c r="S149" s="92" t="e">
        <f t="shared" ca="1" si="5"/>
        <v>#NAME?</v>
      </c>
      <c r="T149" s="92"/>
      <c r="U149" s="92" t="e">
        <f t="shared" ca="1" si="6"/>
        <v>#NAME?</v>
      </c>
      <c r="V149" s="92">
        <f t="shared" si="29"/>
        <v>0</v>
      </c>
      <c r="W149" s="92" t="e">
        <f t="shared" ca="1" si="8"/>
        <v>#NAME?</v>
      </c>
      <c r="X149" s="92" t="e">
        <f t="shared" ca="1" si="30"/>
        <v>#NAME?</v>
      </c>
      <c r="Y149" s="92" t="e">
        <f t="shared" ca="1" si="10"/>
        <v>#NAME?</v>
      </c>
      <c r="Z149" s="21"/>
      <c r="AA149" s="92" t="e">
        <f t="shared" ca="1" si="11"/>
        <v>#NAME?</v>
      </c>
      <c r="AB149" s="92">
        <f t="shared" si="31"/>
        <v>0</v>
      </c>
      <c r="AC149" s="92">
        <f t="shared" si="13"/>
        <v>0</v>
      </c>
      <c r="AD149" s="92">
        <f t="shared" si="32"/>
        <v>0</v>
      </c>
      <c r="AE149" s="92" t="e">
        <f t="shared" ca="1" si="15"/>
        <v>#NAME?</v>
      </c>
      <c r="AF149" s="92" t="e">
        <f t="shared" ca="1" si="23"/>
        <v>#NAME?</v>
      </c>
      <c r="AG149" s="92" t="e">
        <f t="shared" ca="1" si="16"/>
        <v>#NAME?</v>
      </c>
      <c r="AQ149" s="21" t="e">
        <f t="shared" ca="1" si="34"/>
        <v>#NAME?</v>
      </c>
      <c r="AR149" s="12" t="e">
        <f t="shared" ca="1" si="35"/>
        <v>#NAME?</v>
      </c>
    </row>
    <row r="150" spans="1:44" ht="15.75" customHeight="1" x14ac:dyDescent="0.35">
      <c r="A150" s="54">
        <f t="shared" si="0"/>
        <v>2033</v>
      </c>
      <c r="B150" s="54" t="str">
        <f t="shared" si="1"/>
        <v>Q4</v>
      </c>
      <c r="C150" s="99">
        <v>48853</v>
      </c>
      <c r="D150" s="92" t="e">
        <f t="array" aca="1" ref="D150" ca="1">7000*(53%*0.4+47%*0.85)+2800*0.9*_xludf.IFS(B150="Q1",1.3,B150="Q2",0.7,B150="Q3",0.8,B150="Q4",1.2)</f>
        <v>#NAME?</v>
      </c>
      <c r="E150" s="92">
        <v>1233.9765385297553</v>
      </c>
      <c r="F150" s="92">
        <f t="shared" si="25"/>
        <v>0</v>
      </c>
      <c r="G150" s="92">
        <v>300</v>
      </c>
      <c r="H150" s="92"/>
      <c r="I150" s="92"/>
      <c r="J150" s="92" t="e">
        <f t="shared" ca="1" si="26"/>
        <v>#NAME?</v>
      </c>
      <c r="K150" s="92">
        <f t="shared" si="2"/>
        <v>0</v>
      </c>
      <c r="L150" s="92">
        <f>Financiamento!D159</f>
        <v>0</v>
      </c>
      <c r="M150" s="92">
        <f>Financiamento!C159</f>
        <v>0</v>
      </c>
      <c r="N150" s="92"/>
      <c r="O150" s="92"/>
      <c r="Q150" s="92" t="e">
        <f t="shared" ca="1" si="27"/>
        <v>#NAME?</v>
      </c>
      <c r="R150" s="92">
        <f t="shared" si="28"/>
        <v>-300</v>
      </c>
      <c r="S150" s="92" t="e">
        <f t="shared" ca="1" si="5"/>
        <v>#NAME?</v>
      </c>
      <c r="T150" s="92"/>
      <c r="U150" s="92" t="e">
        <f t="shared" ca="1" si="6"/>
        <v>#NAME?</v>
      </c>
      <c r="V150" s="92">
        <f t="shared" si="29"/>
        <v>0</v>
      </c>
      <c r="W150" s="92" t="e">
        <f t="shared" ca="1" si="8"/>
        <v>#NAME?</v>
      </c>
      <c r="X150" s="92" t="e">
        <f t="shared" ca="1" si="30"/>
        <v>#NAME?</v>
      </c>
      <c r="Y150" s="92" t="e">
        <f t="shared" ca="1" si="10"/>
        <v>#NAME?</v>
      </c>
      <c r="Z150" s="21"/>
      <c r="AA150" s="92" t="e">
        <f t="shared" ca="1" si="11"/>
        <v>#NAME?</v>
      </c>
      <c r="AB150" s="92">
        <f t="shared" si="31"/>
        <v>0</v>
      </c>
      <c r="AC150" s="92">
        <f t="shared" si="13"/>
        <v>0</v>
      </c>
      <c r="AD150" s="92">
        <f t="shared" si="32"/>
        <v>0</v>
      </c>
      <c r="AE150" s="92" t="e">
        <f t="shared" ca="1" si="15"/>
        <v>#NAME?</v>
      </c>
      <c r="AF150" s="92" t="e">
        <f t="shared" ca="1" si="23"/>
        <v>#NAME?</v>
      </c>
      <c r="AG150" s="92" t="e">
        <f t="shared" ca="1" si="16"/>
        <v>#NAME?</v>
      </c>
      <c r="AQ150" s="21" t="e">
        <f t="shared" ca="1" si="34"/>
        <v>#NAME?</v>
      </c>
      <c r="AR150" s="12" t="e">
        <f t="shared" ca="1" si="35"/>
        <v>#NAME?</v>
      </c>
    </row>
    <row r="151" spans="1:44" ht="15.75" customHeight="1" x14ac:dyDescent="0.35">
      <c r="A151" s="54">
        <f t="shared" si="0"/>
        <v>2033</v>
      </c>
      <c r="B151" s="54" t="str">
        <f t="shared" si="1"/>
        <v>Q4</v>
      </c>
      <c r="C151" s="99">
        <v>48884</v>
      </c>
      <c r="D151" s="92" t="e">
        <f t="array" aca="1" ref="D151" ca="1">7000*(53%*0.4+47%*0.85)+2800*0.9*_xludf.IFS(B151="Q1",1.3,B151="Q2",0.7,B151="Q3",0.8,B151="Q4",1.2)</f>
        <v>#NAME?</v>
      </c>
      <c r="E151" s="92">
        <v>1331.1922371784738</v>
      </c>
      <c r="F151" s="92">
        <f t="shared" si="25"/>
        <v>2000</v>
      </c>
      <c r="G151" s="92">
        <v>300</v>
      </c>
      <c r="H151" s="92"/>
      <c r="I151" s="92"/>
      <c r="J151" s="92" t="e">
        <f t="shared" ca="1" si="26"/>
        <v>#NAME?</v>
      </c>
      <c r="K151" s="92">
        <f t="shared" si="2"/>
        <v>0</v>
      </c>
      <c r="L151" s="92">
        <f>Financiamento!D160</f>
        <v>0</v>
      </c>
      <c r="M151" s="92">
        <f>Financiamento!C160</f>
        <v>0</v>
      </c>
      <c r="N151" s="92"/>
      <c r="O151" s="92"/>
      <c r="Q151" s="92" t="e">
        <f t="shared" ca="1" si="27"/>
        <v>#NAME?</v>
      </c>
      <c r="R151" s="92">
        <f t="shared" si="28"/>
        <v>-2300</v>
      </c>
      <c r="S151" s="92" t="e">
        <f t="shared" ca="1" si="5"/>
        <v>#NAME?</v>
      </c>
      <c r="T151" s="92"/>
      <c r="U151" s="92" t="e">
        <f t="shared" ca="1" si="6"/>
        <v>#NAME?</v>
      </c>
      <c r="V151" s="92">
        <f t="shared" si="29"/>
        <v>0</v>
      </c>
      <c r="W151" s="92" t="e">
        <f t="shared" ca="1" si="8"/>
        <v>#NAME?</v>
      </c>
      <c r="X151" s="92" t="e">
        <f t="shared" ca="1" si="30"/>
        <v>#NAME?</v>
      </c>
      <c r="Y151" s="92" t="e">
        <f t="shared" ca="1" si="10"/>
        <v>#NAME?</v>
      </c>
      <c r="Z151" s="21"/>
      <c r="AA151" s="92" t="e">
        <f t="shared" ca="1" si="11"/>
        <v>#NAME?</v>
      </c>
      <c r="AB151" s="92">
        <f t="shared" si="31"/>
        <v>0</v>
      </c>
      <c r="AC151" s="92">
        <f t="shared" si="13"/>
        <v>0</v>
      </c>
      <c r="AD151" s="92">
        <f t="shared" si="32"/>
        <v>0</v>
      </c>
      <c r="AE151" s="92" t="e">
        <f t="shared" ca="1" si="15"/>
        <v>#NAME?</v>
      </c>
      <c r="AF151" s="92" t="e">
        <f t="shared" ca="1" si="23"/>
        <v>#NAME?</v>
      </c>
      <c r="AG151" s="92" t="e">
        <f t="shared" ca="1" si="16"/>
        <v>#NAME?</v>
      </c>
      <c r="AQ151" s="21" t="e">
        <f t="shared" ca="1" si="34"/>
        <v>#NAME?</v>
      </c>
      <c r="AR151" s="12" t="e">
        <f t="shared" ca="1" si="35"/>
        <v>#NAME?</v>
      </c>
    </row>
    <row r="152" spans="1:44" ht="15.75" customHeight="1" x14ac:dyDescent="0.35">
      <c r="A152" s="54">
        <f t="shared" si="0"/>
        <v>2033</v>
      </c>
      <c r="B152" s="54" t="str">
        <f t="shared" si="1"/>
        <v>Q4</v>
      </c>
      <c r="C152" s="99">
        <v>48914</v>
      </c>
      <c r="D152" s="92" t="e">
        <f t="array" aca="1" ref="D152" ca="1">7000*(53%*0.4+47%*0.85)+2800*0.9*_xludf.IFS(B152="Q1",1.3,B152="Q2",0.7,B152="Q3",0.8,B152="Q4",1.2)</f>
        <v>#NAME?</v>
      </c>
      <c r="E152" s="92">
        <v>1259.3851870402161</v>
      </c>
      <c r="F152" s="92">
        <f t="shared" si="25"/>
        <v>0</v>
      </c>
      <c r="G152" s="92">
        <v>300</v>
      </c>
      <c r="H152" s="92"/>
      <c r="I152" s="92"/>
      <c r="J152" s="92" t="e">
        <f t="shared" ca="1" si="26"/>
        <v>#NAME?</v>
      </c>
      <c r="K152" s="92">
        <f t="shared" si="2"/>
        <v>0</v>
      </c>
      <c r="L152" s="92">
        <f>Financiamento!D161</f>
        <v>0</v>
      </c>
      <c r="M152" s="92">
        <f>Financiamento!C161</f>
        <v>0</v>
      </c>
      <c r="N152" s="92"/>
      <c r="O152" s="92"/>
      <c r="Q152" s="92" t="e">
        <f t="shared" ca="1" si="27"/>
        <v>#NAME?</v>
      </c>
      <c r="R152" s="92">
        <f t="shared" si="28"/>
        <v>-300</v>
      </c>
      <c r="S152" s="92" t="e">
        <f t="shared" ca="1" si="5"/>
        <v>#NAME?</v>
      </c>
      <c r="T152" s="92"/>
      <c r="U152" s="92" t="e">
        <f t="shared" ca="1" si="6"/>
        <v>#NAME?</v>
      </c>
      <c r="V152" s="92">
        <f t="shared" si="29"/>
        <v>0</v>
      </c>
      <c r="W152" s="92" t="e">
        <f t="shared" ca="1" si="8"/>
        <v>#NAME?</v>
      </c>
      <c r="X152" s="92" t="e">
        <f t="shared" ca="1" si="30"/>
        <v>#NAME?</v>
      </c>
      <c r="Y152" s="92" t="e">
        <f t="shared" ca="1" si="10"/>
        <v>#NAME?</v>
      </c>
      <c r="Z152" s="21"/>
      <c r="AA152" s="92" t="e">
        <f t="shared" ca="1" si="11"/>
        <v>#NAME?</v>
      </c>
      <c r="AB152" s="92">
        <f t="shared" si="31"/>
        <v>0</v>
      </c>
      <c r="AC152" s="92">
        <f t="shared" si="13"/>
        <v>0</v>
      </c>
      <c r="AD152" s="92">
        <f t="shared" si="32"/>
        <v>0</v>
      </c>
      <c r="AE152" s="92" t="e">
        <f t="shared" ca="1" si="15"/>
        <v>#NAME?</v>
      </c>
      <c r="AF152" s="92" t="e">
        <f t="shared" ca="1" si="23"/>
        <v>#NAME?</v>
      </c>
      <c r="AG152" s="92" t="e">
        <f t="shared" ca="1" si="16"/>
        <v>#NAME?</v>
      </c>
      <c r="AQ152" s="21" t="e">
        <f t="shared" ca="1" si="34"/>
        <v>#NAME?</v>
      </c>
      <c r="AR152" s="12" t="e">
        <f t="shared" ca="1" si="35"/>
        <v>#NAME?</v>
      </c>
    </row>
    <row r="153" spans="1:44" ht="15.75" customHeight="1" x14ac:dyDescent="0.35">
      <c r="A153" s="54">
        <f t="shared" si="0"/>
        <v>2034</v>
      </c>
      <c r="B153" s="54" t="str">
        <f t="shared" si="1"/>
        <v>Q1</v>
      </c>
      <c r="C153" s="99">
        <v>48945</v>
      </c>
      <c r="D153" s="92" t="e">
        <f t="array" aca="1" ref="D153" ca="1">7000*(53%*0.4+47%*0.85)+2800*0.9*_xludf.IFS(B153="Q1",1.3,B153="Q2",0.7,B153="Q3",0.8,B153="Q4",1.2)</f>
        <v>#NAME?</v>
      </c>
      <c r="E153" s="92">
        <v>1279.270216309272</v>
      </c>
      <c r="F153" s="92">
        <f t="shared" si="25"/>
        <v>0</v>
      </c>
      <c r="G153" s="92">
        <v>300</v>
      </c>
      <c r="H153" s="92"/>
      <c r="I153" s="92"/>
      <c r="J153" s="92" t="e">
        <f t="shared" ca="1" si="26"/>
        <v>#NAME?</v>
      </c>
      <c r="K153" s="92">
        <f t="shared" si="2"/>
        <v>0</v>
      </c>
      <c r="L153" s="92">
        <f>Financiamento!D162</f>
        <v>0</v>
      </c>
      <c r="M153" s="92">
        <f>Financiamento!C162</f>
        <v>0</v>
      </c>
      <c r="N153" s="92"/>
      <c r="O153" s="92"/>
      <c r="Q153" s="92" t="e">
        <f t="shared" ca="1" si="27"/>
        <v>#NAME?</v>
      </c>
      <c r="R153" s="92">
        <f t="shared" si="28"/>
        <v>-300</v>
      </c>
      <c r="S153" s="92" t="e">
        <f t="shared" ca="1" si="5"/>
        <v>#NAME?</v>
      </c>
      <c r="T153" s="92"/>
      <c r="U153" s="92" t="e">
        <f t="shared" ca="1" si="6"/>
        <v>#NAME?</v>
      </c>
      <c r="V153" s="92">
        <f t="shared" si="29"/>
        <v>0</v>
      </c>
      <c r="W153" s="92" t="e">
        <f t="shared" ca="1" si="8"/>
        <v>#NAME?</v>
      </c>
      <c r="X153" s="92" t="e">
        <f t="shared" ca="1" si="30"/>
        <v>#NAME?</v>
      </c>
      <c r="Y153" s="92" t="e">
        <f t="shared" ca="1" si="10"/>
        <v>#NAME?</v>
      </c>
      <c r="Z153" s="21"/>
      <c r="AA153" s="92" t="e">
        <f t="shared" ca="1" si="11"/>
        <v>#NAME?</v>
      </c>
      <c r="AB153" s="92">
        <f t="shared" si="31"/>
        <v>0</v>
      </c>
      <c r="AC153" s="92">
        <f t="shared" si="13"/>
        <v>0</v>
      </c>
      <c r="AD153" s="92">
        <f t="shared" si="32"/>
        <v>0</v>
      </c>
      <c r="AE153" s="92" t="e">
        <f t="shared" ca="1" si="15"/>
        <v>#NAME?</v>
      </c>
      <c r="AF153" s="92" t="e">
        <f t="shared" ca="1" si="23"/>
        <v>#NAME?</v>
      </c>
      <c r="AG153" s="92" t="e">
        <f t="shared" ca="1" si="16"/>
        <v>#NAME?</v>
      </c>
      <c r="AQ153" s="21" t="e">
        <f t="shared" ca="1" si="34"/>
        <v>#NAME?</v>
      </c>
      <c r="AR153" s="12" t="e">
        <f t="shared" ca="1" si="35"/>
        <v>#NAME?</v>
      </c>
    </row>
    <row r="154" spans="1:44" ht="15.75" customHeight="1" x14ac:dyDescent="0.35">
      <c r="A154" s="54">
        <f t="shared" si="0"/>
        <v>2034</v>
      </c>
      <c r="B154" s="54" t="str">
        <f t="shared" si="1"/>
        <v>Q1</v>
      </c>
      <c r="C154" s="99">
        <v>48976</v>
      </c>
      <c r="D154" s="92" t="e">
        <f t="array" aca="1" ref="D154" ca="1">7000*(53%*0.4+47%*0.85)+2800*0.9*_xludf.IFS(B154="Q1",1.3,B154="Q2",0.7,B154="Q3",0.8,B154="Q4",1.2)</f>
        <v>#NAME?</v>
      </c>
      <c r="E154" s="92">
        <v>1227.3481954400702</v>
      </c>
      <c r="F154" s="92">
        <f t="shared" si="25"/>
        <v>0</v>
      </c>
      <c r="G154" s="92">
        <v>300</v>
      </c>
      <c r="H154" s="92"/>
      <c r="I154" s="92"/>
      <c r="J154" s="92" t="e">
        <f t="shared" ca="1" si="26"/>
        <v>#NAME?</v>
      </c>
      <c r="K154" s="92">
        <f t="shared" si="2"/>
        <v>0</v>
      </c>
      <c r="L154" s="92">
        <f>Financiamento!D163</f>
        <v>0</v>
      </c>
      <c r="M154" s="92">
        <f>Financiamento!C163</f>
        <v>0</v>
      </c>
      <c r="N154" s="92"/>
      <c r="O154" s="92"/>
      <c r="Q154" s="92" t="e">
        <f t="shared" ca="1" si="27"/>
        <v>#NAME?</v>
      </c>
      <c r="R154" s="92">
        <f t="shared" si="28"/>
        <v>-300</v>
      </c>
      <c r="S154" s="92" t="e">
        <f t="shared" ca="1" si="5"/>
        <v>#NAME?</v>
      </c>
      <c r="T154" s="92"/>
      <c r="U154" s="92" t="e">
        <f t="shared" ca="1" si="6"/>
        <v>#NAME?</v>
      </c>
      <c r="V154" s="92">
        <f t="shared" si="29"/>
        <v>0</v>
      </c>
      <c r="W154" s="92" t="e">
        <f t="shared" ca="1" si="8"/>
        <v>#NAME?</v>
      </c>
      <c r="X154" s="92" t="e">
        <f t="shared" ca="1" si="30"/>
        <v>#NAME?</v>
      </c>
      <c r="Y154" s="92" t="e">
        <f t="shared" ca="1" si="10"/>
        <v>#NAME?</v>
      </c>
      <c r="Z154" s="21"/>
      <c r="AA154" s="92" t="e">
        <f t="shared" ca="1" si="11"/>
        <v>#NAME?</v>
      </c>
      <c r="AB154" s="92">
        <f t="shared" si="31"/>
        <v>0</v>
      </c>
      <c r="AC154" s="92">
        <f t="shared" si="13"/>
        <v>0</v>
      </c>
      <c r="AD154" s="92">
        <f t="shared" si="32"/>
        <v>0</v>
      </c>
      <c r="AE154" s="92" t="e">
        <f t="shared" ca="1" si="15"/>
        <v>#NAME?</v>
      </c>
      <c r="AF154" s="92" t="e">
        <f t="shared" ca="1" si="23"/>
        <v>#NAME?</v>
      </c>
      <c r="AG154" s="92" t="e">
        <f t="shared" ca="1" si="16"/>
        <v>#NAME?</v>
      </c>
      <c r="AQ154" s="21" t="e">
        <f t="shared" ca="1" si="34"/>
        <v>#NAME?</v>
      </c>
      <c r="AR154" s="12" t="e">
        <f t="shared" ca="1" si="35"/>
        <v>#NAME?</v>
      </c>
    </row>
    <row r="155" spans="1:44" ht="15.75" customHeight="1" x14ac:dyDescent="0.35">
      <c r="A155" s="54">
        <f t="shared" si="0"/>
        <v>2034</v>
      </c>
      <c r="B155" s="54" t="str">
        <f t="shared" si="1"/>
        <v>Q1</v>
      </c>
      <c r="C155" s="99">
        <v>49004</v>
      </c>
      <c r="D155" s="92" t="e">
        <f t="array" aca="1" ref="D155" ca="1">7000*(53%*0.4+47%*0.85)+2800*0.9*_xludf.IFS(B155="Q1",1.3,B155="Q2",0.7,B155="Q3",0.8,B155="Q4",1.2)</f>
        <v>#NAME?</v>
      </c>
      <c r="E155" s="92">
        <v>1340.0300279647211</v>
      </c>
      <c r="F155" s="92">
        <f t="shared" si="25"/>
        <v>0</v>
      </c>
      <c r="G155" s="92">
        <v>300</v>
      </c>
      <c r="H155" s="92"/>
      <c r="I155" s="92"/>
      <c r="J155" s="92" t="e">
        <f t="shared" ca="1" si="26"/>
        <v>#NAME?</v>
      </c>
      <c r="K155" s="92">
        <f t="shared" si="2"/>
        <v>0</v>
      </c>
      <c r="L155" s="92">
        <f>Financiamento!D164</f>
        <v>0</v>
      </c>
      <c r="M155" s="92">
        <f>Financiamento!C164</f>
        <v>0</v>
      </c>
      <c r="N155" s="92"/>
      <c r="O155" s="92"/>
      <c r="Q155" s="92" t="e">
        <f t="shared" ca="1" si="27"/>
        <v>#NAME?</v>
      </c>
      <c r="R155" s="92">
        <f t="shared" si="28"/>
        <v>-300</v>
      </c>
      <c r="S155" s="92" t="e">
        <f t="shared" ca="1" si="5"/>
        <v>#NAME?</v>
      </c>
      <c r="T155" s="92"/>
      <c r="U155" s="92" t="e">
        <f t="shared" ca="1" si="6"/>
        <v>#NAME?</v>
      </c>
      <c r="V155" s="92">
        <f t="shared" si="29"/>
        <v>0</v>
      </c>
      <c r="W155" s="92" t="e">
        <f t="shared" ca="1" si="8"/>
        <v>#NAME?</v>
      </c>
      <c r="X155" s="92" t="e">
        <f t="shared" ca="1" si="30"/>
        <v>#NAME?</v>
      </c>
      <c r="Y155" s="92" t="e">
        <f t="shared" ca="1" si="10"/>
        <v>#NAME?</v>
      </c>
      <c r="Z155" s="21"/>
      <c r="AA155" s="92" t="e">
        <f t="shared" ca="1" si="11"/>
        <v>#NAME?</v>
      </c>
      <c r="AB155" s="92">
        <f t="shared" si="31"/>
        <v>0</v>
      </c>
      <c r="AC155" s="92">
        <f t="shared" si="13"/>
        <v>0</v>
      </c>
      <c r="AD155" s="92">
        <f t="shared" si="32"/>
        <v>0</v>
      </c>
      <c r="AE155" s="92" t="e">
        <f t="shared" ca="1" si="15"/>
        <v>#NAME?</v>
      </c>
      <c r="AF155" s="92" t="e">
        <f t="shared" ca="1" si="23"/>
        <v>#NAME?</v>
      </c>
      <c r="AG155" s="92" t="e">
        <f t="shared" ca="1" si="16"/>
        <v>#NAME?</v>
      </c>
      <c r="AQ155" s="21" t="e">
        <f t="shared" ca="1" si="34"/>
        <v>#NAME?</v>
      </c>
      <c r="AR155" s="12" t="e">
        <f t="shared" ca="1" si="35"/>
        <v>#NAME?</v>
      </c>
    </row>
    <row r="156" spans="1:44" ht="15.75" customHeight="1" x14ac:dyDescent="0.35">
      <c r="A156" s="54">
        <f t="shared" si="0"/>
        <v>2034</v>
      </c>
      <c r="B156" s="54" t="str">
        <f t="shared" si="1"/>
        <v>Q2</v>
      </c>
      <c r="C156" s="99">
        <v>49035</v>
      </c>
      <c r="D156" s="92" t="e">
        <f t="array" aca="1" ref="D156" ca="1">7000*(53%*0.4+47%*0.85)+2800*0.9*_xludf.IFS(B156="Q1",1.3,B156="Q2",0.7,B156="Q3",0.8,B156="Q4",1.2)</f>
        <v>#NAME?</v>
      </c>
      <c r="E156" s="92">
        <v>1182.7120913797687</v>
      </c>
      <c r="F156" s="92">
        <f t="shared" si="25"/>
        <v>0</v>
      </c>
      <c r="G156" s="92">
        <v>300</v>
      </c>
      <c r="H156" s="92"/>
      <c r="I156" s="92"/>
      <c r="J156" s="92" t="e">
        <f t="shared" ca="1" si="26"/>
        <v>#NAME?</v>
      </c>
      <c r="K156" s="92">
        <f t="shared" si="2"/>
        <v>0</v>
      </c>
      <c r="L156" s="92">
        <f>Financiamento!D165</f>
        <v>0</v>
      </c>
      <c r="M156" s="92">
        <f>Financiamento!C165</f>
        <v>0</v>
      </c>
      <c r="N156" s="92"/>
      <c r="O156" s="92"/>
      <c r="Q156" s="92" t="e">
        <f t="shared" ca="1" si="27"/>
        <v>#NAME?</v>
      </c>
      <c r="R156" s="92">
        <f t="shared" si="28"/>
        <v>-300</v>
      </c>
      <c r="S156" s="92" t="e">
        <f t="shared" ca="1" si="5"/>
        <v>#NAME?</v>
      </c>
      <c r="T156" s="92"/>
      <c r="U156" s="92" t="e">
        <f t="shared" ca="1" si="6"/>
        <v>#NAME?</v>
      </c>
      <c r="V156" s="92">
        <f t="shared" si="29"/>
        <v>0</v>
      </c>
      <c r="W156" s="92" t="e">
        <f t="shared" ca="1" si="8"/>
        <v>#NAME?</v>
      </c>
      <c r="X156" s="92" t="e">
        <f t="shared" ca="1" si="30"/>
        <v>#NAME?</v>
      </c>
      <c r="Y156" s="92" t="e">
        <f t="shared" ca="1" si="10"/>
        <v>#NAME?</v>
      </c>
      <c r="Z156" s="21"/>
      <c r="AA156" s="92" t="e">
        <f t="shared" ca="1" si="11"/>
        <v>#NAME?</v>
      </c>
      <c r="AB156" s="92">
        <f t="shared" si="31"/>
        <v>0</v>
      </c>
      <c r="AC156" s="92">
        <f t="shared" si="13"/>
        <v>0</v>
      </c>
      <c r="AD156" s="92">
        <f t="shared" si="32"/>
        <v>0</v>
      </c>
      <c r="AE156" s="92" t="e">
        <f t="shared" ca="1" si="15"/>
        <v>#NAME?</v>
      </c>
      <c r="AF156" s="92" t="e">
        <f t="shared" ca="1" si="23"/>
        <v>#NAME?</v>
      </c>
      <c r="AG156" s="92" t="e">
        <f t="shared" ca="1" si="16"/>
        <v>#NAME?</v>
      </c>
      <c r="AQ156" s="21" t="e">
        <f t="shared" ca="1" si="34"/>
        <v>#NAME?</v>
      </c>
      <c r="AR156" s="12" t="e">
        <f t="shared" ca="1" si="35"/>
        <v>#NAME?</v>
      </c>
    </row>
    <row r="157" spans="1:44" ht="15.75" customHeight="1" x14ac:dyDescent="0.35">
      <c r="A157" s="54">
        <f t="shared" si="0"/>
        <v>2034</v>
      </c>
      <c r="B157" s="54" t="str">
        <f t="shared" si="1"/>
        <v>Q2</v>
      </c>
      <c r="C157" s="99">
        <v>49065</v>
      </c>
      <c r="D157" s="92" t="e">
        <f t="array" aca="1" ref="D157" ca="1">7000*(53%*0.4+47%*0.85)+2800*0.9*_xludf.IFS(B157="Q1",1.3,B157="Q2",0.7,B157="Q3",0.8,B157="Q4",1.2)</f>
        <v>#NAME?</v>
      </c>
      <c r="E157" s="92">
        <v>1139.5541191011589</v>
      </c>
      <c r="F157" s="92">
        <f t="shared" si="25"/>
        <v>0</v>
      </c>
      <c r="G157" s="92">
        <v>300</v>
      </c>
      <c r="H157" s="92"/>
      <c r="I157" s="92"/>
      <c r="J157" s="92" t="e">
        <f t="shared" ca="1" si="26"/>
        <v>#NAME?</v>
      </c>
      <c r="K157" s="92">
        <f t="shared" si="2"/>
        <v>0</v>
      </c>
      <c r="L157" s="92">
        <f>Financiamento!D166</f>
        <v>0</v>
      </c>
      <c r="M157" s="92">
        <f>Financiamento!C166</f>
        <v>0</v>
      </c>
      <c r="N157" s="92"/>
      <c r="O157" s="92"/>
      <c r="Q157" s="92" t="e">
        <f t="shared" ca="1" si="27"/>
        <v>#NAME?</v>
      </c>
      <c r="R157" s="92">
        <f t="shared" si="28"/>
        <v>-300</v>
      </c>
      <c r="S157" s="92" t="e">
        <f t="shared" ca="1" si="5"/>
        <v>#NAME?</v>
      </c>
      <c r="T157" s="92"/>
      <c r="U157" s="92" t="e">
        <f t="shared" ca="1" si="6"/>
        <v>#NAME?</v>
      </c>
      <c r="V157" s="92">
        <f t="shared" si="29"/>
        <v>0</v>
      </c>
      <c r="W157" s="92" t="e">
        <f t="shared" ca="1" si="8"/>
        <v>#NAME?</v>
      </c>
      <c r="X157" s="92" t="e">
        <f t="shared" ca="1" si="30"/>
        <v>#NAME?</v>
      </c>
      <c r="Y157" s="92" t="e">
        <f t="shared" ca="1" si="10"/>
        <v>#NAME?</v>
      </c>
      <c r="Z157" s="21"/>
      <c r="AA157" s="92" t="e">
        <f t="shared" ca="1" si="11"/>
        <v>#NAME?</v>
      </c>
      <c r="AB157" s="92">
        <f t="shared" si="31"/>
        <v>0</v>
      </c>
      <c r="AC157" s="92">
        <f t="shared" si="13"/>
        <v>0</v>
      </c>
      <c r="AD157" s="92">
        <f t="shared" si="32"/>
        <v>0</v>
      </c>
      <c r="AE157" s="92" t="e">
        <f t="shared" ca="1" si="15"/>
        <v>#NAME?</v>
      </c>
      <c r="AF157" s="92" t="e">
        <f t="shared" ca="1" si="23"/>
        <v>#NAME?</v>
      </c>
      <c r="AG157" s="92" t="e">
        <f t="shared" ca="1" si="16"/>
        <v>#NAME?</v>
      </c>
      <c r="AQ157" s="21" t="e">
        <f t="shared" ca="1" si="34"/>
        <v>#NAME?</v>
      </c>
      <c r="AR157" s="12" t="e">
        <f t="shared" ca="1" si="35"/>
        <v>#NAME?</v>
      </c>
    </row>
    <row r="158" spans="1:44" ht="15.75" customHeight="1" x14ac:dyDescent="0.35">
      <c r="A158" s="54">
        <f t="shared" si="0"/>
        <v>2034</v>
      </c>
      <c r="B158" s="54" t="str">
        <f t="shared" si="1"/>
        <v>Q2</v>
      </c>
      <c r="C158" s="99">
        <v>49096</v>
      </c>
      <c r="D158" s="92" t="e">
        <f t="array" aca="1" ref="D158" ca="1">7000*(53%*0.4+47%*0.85)+2800*0.9*_xludf.IFS(B158="Q1",1.3,B158="Q2",0.7,B158="Q3",0.8,B158="Q4",1.2)</f>
        <v>#NAME?</v>
      </c>
      <c r="E158" s="92">
        <v>1201.077185966411</v>
      </c>
      <c r="F158" s="92">
        <f t="shared" si="25"/>
        <v>0</v>
      </c>
      <c r="G158" s="92">
        <v>300</v>
      </c>
      <c r="H158" s="92"/>
      <c r="I158" s="92"/>
      <c r="J158" s="92" t="e">
        <f t="shared" ca="1" si="26"/>
        <v>#NAME?</v>
      </c>
      <c r="K158" s="92">
        <f t="shared" si="2"/>
        <v>0</v>
      </c>
      <c r="L158" s="92">
        <f>Financiamento!D167</f>
        <v>0</v>
      </c>
      <c r="M158" s="92">
        <f>Financiamento!C167</f>
        <v>0</v>
      </c>
      <c r="N158" s="92"/>
      <c r="O158" s="92"/>
      <c r="Q158" s="92" t="e">
        <f t="shared" ca="1" si="27"/>
        <v>#NAME?</v>
      </c>
      <c r="R158" s="92">
        <f t="shared" si="28"/>
        <v>-300</v>
      </c>
      <c r="S158" s="92" t="e">
        <f t="shared" ca="1" si="5"/>
        <v>#NAME?</v>
      </c>
      <c r="T158" s="92"/>
      <c r="U158" s="92" t="e">
        <f t="shared" ca="1" si="6"/>
        <v>#NAME?</v>
      </c>
      <c r="V158" s="92">
        <f t="shared" si="29"/>
        <v>0</v>
      </c>
      <c r="W158" s="92" t="e">
        <f t="shared" ca="1" si="8"/>
        <v>#NAME?</v>
      </c>
      <c r="X158" s="92" t="e">
        <f t="shared" ca="1" si="30"/>
        <v>#NAME?</v>
      </c>
      <c r="Y158" s="92" t="e">
        <f t="shared" ca="1" si="10"/>
        <v>#NAME?</v>
      </c>
      <c r="Z158" s="21"/>
      <c r="AA158" s="92" t="e">
        <f t="shared" ca="1" si="11"/>
        <v>#NAME?</v>
      </c>
      <c r="AB158" s="92">
        <f t="shared" si="31"/>
        <v>0</v>
      </c>
      <c r="AC158" s="92">
        <f t="shared" si="13"/>
        <v>0</v>
      </c>
      <c r="AD158" s="92">
        <f t="shared" si="32"/>
        <v>0</v>
      </c>
      <c r="AE158" s="92" t="e">
        <f t="shared" ca="1" si="15"/>
        <v>#NAME?</v>
      </c>
      <c r="AF158" s="92" t="e">
        <f t="shared" ca="1" si="23"/>
        <v>#NAME?</v>
      </c>
      <c r="AG158" s="92" t="e">
        <f t="shared" ca="1" si="16"/>
        <v>#NAME?</v>
      </c>
      <c r="AQ158" s="21" t="e">
        <f t="shared" ca="1" si="34"/>
        <v>#NAME?</v>
      </c>
      <c r="AR158" s="12" t="e">
        <f t="shared" ca="1" si="35"/>
        <v>#NAME?</v>
      </c>
    </row>
    <row r="159" spans="1:44" ht="15.75" customHeight="1" x14ac:dyDescent="0.35">
      <c r="A159" s="54">
        <f t="shared" si="0"/>
        <v>2034</v>
      </c>
      <c r="B159" s="54" t="str">
        <f t="shared" si="1"/>
        <v>Q3</v>
      </c>
      <c r="C159" s="99">
        <v>49126</v>
      </c>
      <c r="D159" s="92" t="e">
        <f t="array" aca="1" ref="D159" ca="1">7000*(53%*0.4+47%*0.85)+2800*0.9*_xludf.IFS(B159="Q1",1.3,B159="Q2",0.7,B159="Q3",0.8,B159="Q4",1.2)</f>
        <v>#NAME?</v>
      </c>
      <c r="E159" s="92">
        <v>1106.4969488452027</v>
      </c>
      <c r="F159" s="92">
        <f t="shared" si="25"/>
        <v>0</v>
      </c>
      <c r="G159" s="92">
        <v>300</v>
      </c>
      <c r="H159" s="92"/>
      <c r="I159" s="92"/>
      <c r="J159" s="92" t="e">
        <f t="shared" ca="1" si="26"/>
        <v>#NAME?</v>
      </c>
      <c r="K159" s="92">
        <f t="shared" si="2"/>
        <v>0</v>
      </c>
      <c r="L159" s="92">
        <f>Financiamento!D168</f>
        <v>0</v>
      </c>
      <c r="M159" s="92">
        <f>Financiamento!C168</f>
        <v>0</v>
      </c>
      <c r="N159" s="92"/>
      <c r="O159" s="92"/>
      <c r="Q159" s="92" t="e">
        <f t="shared" ca="1" si="27"/>
        <v>#NAME?</v>
      </c>
      <c r="R159" s="92">
        <f t="shared" si="28"/>
        <v>-300</v>
      </c>
      <c r="S159" s="92" t="e">
        <f t="shared" ca="1" si="5"/>
        <v>#NAME?</v>
      </c>
      <c r="T159" s="92"/>
      <c r="U159" s="92" t="e">
        <f t="shared" ca="1" si="6"/>
        <v>#NAME?</v>
      </c>
      <c r="V159" s="92">
        <f t="shared" si="29"/>
        <v>0</v>
      </c>
      <c r="W159" s="92" t="e">
        <f t="shared" ca="1" si="8"/>
        <v>#NAME?</v>
      </c>
      <c r="X159" s="92" t="e">
        <f t="shared" ca="1" si="30"/>
        <v>#NAME?</v>
      </c>
      <c r="Y159" s="92" t="e">
        <f t="shared" ca="1" si="10"/>
        <v>#NAME?</v>
      </c>
      <c r="Z159" s="21"/>
      <c r="AA159" s="92" t="e">
        <f t="shared" ca="1" si="11"/>
        <v>#NAME?</v>
      </c>
      <c r="AB159" s="92">
        <f t="shared" si="31"/>
        <v>0</v>
      </c>
      <c r="AC159" s="92">
        <f t="shared" si="13"/>
        <v>0</v>
      </c>
      <c r="AD159" s="92">
        <f t="shared" si="32"/>
        <v>0</v>
      </c>
      <c r="AE159" s="92" t="e">
        <f t="shared" ca="1" si="15"/>
        <v>#NAME?</v>
      </c>
      <c r="AF159" s="92" t="e">
        <f t="shared" ca="1" si="23"/>
        <v>#NAME?</v>
      </c>
      <c r="AG159" s="92" t="e">
        <f t="shared" ca="1" si="16"/>
        <v>#NAME?</v>
      </c>
      <c r="AQ159" s="21" t="e">
        <f t="shared" ca="1" si="34"/>
        <v>#NAME?</v>
      </c>
      <c r="AR159" s="12" t="e">
        <f t="shared" ca="1" si="35"/>
        <v>#NAME?</v>
      </c>
    </row>
    <row r="160" spans="1:44" ht="15.75" customHeight="1" x14ac:dyDescent="0.35">
      <c r="A160" s="54">
        <f t="shared" si="0"/>
        <v>2034</v>
      </c>
      <c r="B160" s="54" t="str">
        <f t="shared" si="1"/>
        <v>Q3</v>
      </c>
      <c r="C160" s="99">
        <v>49157</v>
      </c>
      <c r="D160" s="92" t="e">
        <f t="array" aca="1" ref="D160" ca="1">7000*(53%*0.4+47%*0.85)+2800*0.9*_xludf.IFS(B160="Q1",1.3,B160="Q2",0.7,B160="Q3",0.8,B160="Q4",1.2)</f>
        <v>#NAME?</v>
      </c>
      <c r="E160" s="92">
        <v>1002.7341644306732</v>
      </c>
      <c r="F160" s="92">
        <f t="shared" si="25"/>
        <v>0</v>
      </c>
      <c r="G160" s="92">
        <v>300</v>
      </c>
      <c r="H160" s="92"/>
      <c r="I160" s="92"/>
      <c r="J160" s="92" t="e">
        <f t="shared" ca="1" si="26"/>
        <v>#NAME?</v>
      </c>
      <c r="K160" s="92">
        <f t="shared" si="2"/>
        <v>0</v>
      </c>
      <c r="L160" s="92">
        <f>Financiamento!D169</f>
        <v>0</v>
      </c>
      <c r="M160" s="92">
        <f>Financiamento!C169</f>
        <v>0</v>
      </c>
      <c r="N160" s="92"/>
      <c r="O160" s="92"/>
      <c r="Q160" s="92" t="e">
        <f t="shared" ca="1" si="27"/>
        <v>#NAME?</v>
      </c>
      <c r="R160" s="92">
        <f t="shared" si="28"/>
        <v>-300</v>
      </c>
      <c r="S160" s="92" t="e">
        <f t="shared" ca="1" si="5"/>
        <v>#NAME?</v>
      </c>
      <c r="T160" s="92"/>
      <c r="U160" s="92" t="e">
        <f t="shared" ca="1" si="6"/>
        <v>#NAME?</v>
      </c>
      <c r="V160" s="92">
        <f t="shared" si="29"/>
        <v>0</v>
      </c>
      <c r="W160" s="92" t="e">
        <f t="shared" ca="1" si="8"/>
        <v>#NAME?</v>
      </c>
      <c r="X160" s="92" t="e">
        <f t="shared" ca="1" si="30"/>
        <v>#NAME?</v>
      </c>
      <c r="Y160" s="92" t="e">
        <f t="shared" ca="1" si="10"/>
        <v>#NAME?</v>
      </c>
      <c r="Z160" s="21"/>
      <c r="AA160" s="92" t="e">
        <f t="shared" ca="1" si="11"/>
        <v>#NAME?</v>
      </c>
      <c r="AB160" s="92">
        <f t="shared" si="31"/>
        <v>0</v>
      </c>
      <c r="AC160" s="92">
        <f t="shared" si="13"/>
        <v>0</v>
      </c>
      <c r="AD160" s="92">
        <f t="shared" si="32"/>
        <v>0</v>
      </c>
      <c r="AE160" s="92" t="e">
        <f t="shared" ca="1" si="15"/>
        <v>#NAME?</v>
      </c>
      <c r="AF160" s="92" t="e">
        <f t="shared" ca="1" si="23"/>
        <v>#NAME?</v>
      </c>
      <c r="AG160" s="92" t="e">
        <f t="shared" ca="1" si="16"/>
        <v>#NAME?</v>
      </c>
      <c r="AQ160" s="21" t="e">
        <f t="shared" ca="1" si="34"/>
        <v>#NAME?</v>
      </c>
      <c r="AR160" s="12" t="e">
        <f t="shared" ca="1" si="35"/>
        <v>#NAME?</v>
      </c>
    </row>
    <row r="161" spans="1:44" ht="15.75" customHeight="1" x14ac:dyDescent="0.35">
      <c r="A161" s="54">
        <f t="shared" si="0"/>
        <v>2034</v>
      </c>
      <c r="B161" s="54" t="str">
        <f t="shared" si="1"/>
        <v>Q3</v>
      </c>
      <c r="C161" s="99">
        <v>49188</v>
      </c>
      <c r="D161" s="92" t="e">
        <f t="array" aca="1" ref="D161" ca="1">7000*(53%*0.4+47%*0.85)+2800*0.9*_xludf.IFS(B161="Q1",1.3,B161="Q2",0.7,B161="Q3",0.8,B161="Q4",1.2)</f>
        <v>#NAME?</v>
      </c>
      <c r="E161" s="92">
        <v>960.49444688139579</v>
      </c>
      <c r="F161" s="92">
        <f t="shared" si="25"/>
        <v>0</v>
      </c>
      <c r="G161" s="92">
        <v>300</v>
      </c>
      <c r="H161" s="92"/>
      <c r="I161" s="92"/>
      <c r="J161" s="92" t="e">
        <f t="shared" ca="1" si="26"/>
        <v>#NAME?</v>
      </c>
      <c r="K161" s="92">
        <f t="shared" si="2"/>
        <v>0</v>
      </c>
      <c r="L161" s="92">
        <f>Financiamento!D170</f>
        <v>0</v>
      </c>
      <c r="M161" s="92">
        <f>Financiamento!C170</f>
        <v>0</v>
      </c>
      <c r="N161" s="92"/>
      <c r="O161" s="92"/>
      <c r="Q161" s="92" t="e">
        <f t="shared" ca="1" si="27"/>
        <v>#NAME?</v>
      </c>
      <c r="R161" s="92">
        <f t="shared" si="28"/>
        <v>-300</v>
      </c>
      <c r="S161" s="92" t="e">
        <f t="shared" ca="1" si="5"/>
        <v>#NAME?</v>
      </c>
      <c r="T161" s="92"/>
      <c r="U161" s="92" t="e">
        <f t="shared" ca="1" si="6"/>
        <v>#NAME?</v>
      </c>
      <c r="V161" s="92">
        <f t="shared" si="29"/>
        <v>0</v>
      </c>
      <c r="W161" s="92" t="e">
        <f t="shared" ca="1" si="8"/>
        <v>#NAME?</v>
      </c>
      <c r="X161" s="92" t="e">
        <f t="shared" ca="1" si="30"/>
        <v>#NAME?</v>
      </c>
      <c r="Y161" s="92" t="e">
        <f t="shared" ca="1" si="10"/>
        <v>#NAME?</v>
      </c>
      <c r="Z161" s="21"/>
      <c r="AA161" s="92" t="e">
        <f t="shared" ca="1" si="11"/>
        <v>#NAME?</v>
      </c>
      <c r="AB161" s="92">
        <f t="shared" si="31"/>
        <v>0</v>
      </c>
      <c r="AC161" s="92">
        <f t="shared" si="13"/>
        <v>0</v>
      </c>
      <c r="AD161" s="92">
        <f t="shared" si="32"/>
        <v>0</v>
      </c>
      <c r="AE161" s="92" t="e">
        <f t="shared" ca="1" si="15"/>
        <v>#NAME?</v>
      </c>
      <c r="AF161" s="92" t="e">
        <f t="shared" ca="1" si="23"/>
        <v>#NAME?</v>
      </c>
      <c r="AG161" s="92" t="e">
        <f t="shared" ca="1" si="16"/>
        <v>#NAME?</v>
      </c>
      <c r="AQ161" s="21" t="e">
        <f t="shared" ca="1" si="34"/>
        <v>#NAME?</v>
      </c>
      <c r="AR161" s="12" t="e">
        <f t="shared" ca="1" si="35"/>
        <v>#NAME?</v>
      </c>
    </row>
    <row r="162" spans="1:44" ht="15.75" customHeight="1" x14ac:dyDescent="0.35">
      <c r="A162" s="54">
        <f t="shared" si="0"/>
        <v>2034</v>
      </c>
      <c r="B162" s="54" t="str">
        <f t="shared" si="1"/>
        <v>Q4</v>
      </c>
      <c r="C162" s="99">
        <v>49218</v>
      </c>
      <c r="D162" s="92" t="e">
        <f t="array" aca="1" ref="D162" ca="1">7000*(53%*0.4+47%*0.85)+2800*0.9*_xludf.IFS(B162="Q1",1.3,B162="Q2",0.7,B162="Q3",0.8,B162="Q4",1.2)</f>
        <v>#NAME?</v>
      </c>
      <c r="E162" s="92">
        <v>1025.6905326639765</v>
      </c>
      <c r="F162" s="92">
        <f t="shared" si="25"/>
        <v>0</v>
      </c>
      <c r="G162" s="92">
        <v>300</v>
      </c>
      <c r="H162" s="92"/>
      <c r="I162" s="92"/>
      <c r="J162" s="92" t="e">
        <f t="shared" ca="1" si="26"/>
        <v>#NAME?</v>
      </c>
      <c r="K162" s="92">
        <f t="shared" si="2"/>
        <v>0</v>
      </c>
      <c r="L162" s="92">
        <f>Financiamento!D171</f>
        <v>0</v>
      </c>
      <c r="M162" s="92">
        <f>Financiamento!C171</f>
        <v>0</v>
      </c>
      <c r="N162" s="92"/>
      <c r="O162" s="92"/>
      <c r="Q162" s="92" t="e">
        <f t="shared" ca="1" si="27"/>
        <v>#NAME?</v>
      </c>
      <c r="R162" s="92">
        <f t="shared" si="28"/>
        <v>-300</v>
      </c>
      <c r="S162" s="92" t="e">
        <f t="shared" ca="1" si="5"/>
        <v>#NAME?</v>
      </c>
      <c r="T162" s="92"/>
      <c r="U162" s="92" t="e">
        <f t="shared" ca="1" si="6"/>
        <v>#NAME?</v>
      </c>
      <c r="V162" s="92">
        <f t="shared" si="29"/>
        <v>0</v>
      </c>
      <c r="W162" s="92" t="e">
        <f t="shared" ca="1" si="8"/>
        <v>#NAME?</v>
      </c>
      <c r="X162" s="92" t="e">
        <f t="shared" ca="1" si="30"/>
        <v>#NAME?</v>
      </c>
      <c r="Y162" s="92" t="e">
        <f t="shared" ca="1" si="10"/>
        <v>#NAME?</v>
      </c>
      <c r="Z162" s="21"/>
      <c r="AA162" s="92" t="e">
        <f t="shared" ca="1" si="11"/>
        <v>#NAME?</v>
      </c>
      <c r="AB162" s="92">
        <f t="shared" si="31"/>
        <v>0</v>
      </c>
      <c r="AC162" s="92">
        <f t="shared" si="13"/>
        <v>0</v>
      </c>
      <c r="AD162" s="92">
        <f t="shared" si="32"/>
        <v>0</v>
      </c>
      <c r="AE162" s="92" t="e">
        <f t="shared" ca="1" si="15"/>
        <v>#NAME?</v>
      </c>
      <c r="AF162" s="92" t="e">
        <f t="shared" ca="1" si="23"/>
        <v>#NAME?</v>
      </c>
      <c r="AG162" s="92" t="e">
        <f t="shared" ca="1" si="16"/>
        <v>#NAME?</v>
      </c>
      <c r="AQ162" s="21" t="e">
        <f t="shared" ca="1" si="34"/>
        <v>#NAME?</v>
      </c>
      <c r="AR162" s="12" t="e">
        <f t="shared" ca="1" si="35"/>
        <v>#NAME?</v>
      </c>
    </row>
    <row r="163" spans="1:44" ht="15.75" customHeight="1" x14ac:dyDescent="0.35">
      <c r="A163" s="54">
        <f t="shared" si="0"/>
        <v>2034</v>
      </c>
      <c r="B163" s="54" t="str">
        <f t="shared" si="1"/>
        <v>Q4</v>
      </c>
      <c r="C163" s="99">
        <v>49249</v>
      </c>
      <c r="D163" s="92" t="e">
        <f t="array" aca="1" ref="D163" ca="1">7000*(53%*0.4+47%*0.85)+2800*0.9*_xludf.IFS(B163="Q1",1.3,B163="Q2",0.7,B163="Q3",0.8,B163="Q4",1.2)</f>
        <v>#NAME?</v>
      </c>
      <c r="E163" s="92">
        <v>1106.4969488452027</v>
      </c>
      <c r="F163" s="92">
        <f t="shared" si="25"/>
        <v>2000</v>
      </c>
      <c r="G163" s="92">
        <v>300</v>
      </c>
      <c r="H163" s="92"/>
      <c r="I163" s="92"/>
      <c r="J163" s="92" t="e">
        <f t="shared" ca="1" si="26"/>
        <v>#NAME?</v>
      </c>
      <c r="K163" s="92">
        <f t="shared" si="2"/>
        <v>0</v>
      </c>
      <c r="L163" s="92">
        <f>Financiamento!D172</f>
        <v>0</v>
      </c>
      <c r="M163" s="92">
        <f>Financiamento!C172</f>
        <v>0</v>
      </c>
      <c r="N163" s="92"/>
      <c r="O163" s="92"/>
      <c r="Q163" s="92" t="e">
        <f t="shared" ca="1" si="27"/>
        <v>#NAME?</v>
      </c>
      <c r="R163" s="92">
        <f t="shared" si="28"/>
        <v>-2300</v>
      </c>
      <c r="S163" s="92" t="e">
        <f t="shared" ca="1" si="5"/>
        <v>#NAME?</v>
      </c>
      <c r="T163" s="92"/>
      <c r="U163" s="92" t="e">
        <f t="shared" ca="1" si="6"/>
        <v>#NAME?</v>
      </c>
      <c r="V163" s="92">
        <f t="shared" si="29"/>
        <v>0</v>
      </c>
      <c r="W163" s="92" t="e">
        <f t="shared" ca="1" si="8"/>
        <v>#NAME?</v>
      </c>
      <c r="X163" s="92" t="e">
        <f t="shared" ca="1" si="30"/>
        <v>#NAME?</v>
      </c>
      <c r="Y163" s="92" t="e">
        <f t="shared" ca="1" si="10"/>
        <v>#NAME?</v>
      </c>
      <c r="Z163" s="21"/>
      <c r="AA163" s="92" t="e">
        <f t="shared" ca="1" si="11"/>
        <v>#NAME?</v>
      </c>
      <c r="AB163" s="92">
        <f t="shared" si="31"/>
        <v>0</v>
      </c>
      <c r="AC163" s="92">
        <f t="shared" si="13"/>
        <v>0</v>
      </c>
      <c r="AD163" s="92">
        <f t="shared" si="32"/>
        <v>0</v>
      </c>
      <c r="AE163" s="92" t="e">
        <f t="shared" ca="1" si="15"/>
        <v>#NAME?</v>
      </c>
      <c r="AF163" s="92" t="e">
        <f t="shared" ca="1" si="23"/>
        <v>#NAME?</v>
      </c>
      <c r="AG163" s="92" t="e">
        <f t="shared" ca="1" si="16"/>
        <v>#NAME?</v>
      </c>
      <c r="AQ163" s="21" t="e">
        <f t="shared" ca="1" si="34"/>
        <v>#NAME?</v>
      </c>
      <c r="AR163" s="12" t="e">
        <f t="shared" ca="1" si="35"/>
        <v>#NAME?</v>
      </c>
    </row>
    <row r="164" spans="1:44" ht="15.75" customHeight="1" x14ac:dyDescent="0.35">
      <c r="A164" s="54">
        <f t="shared" si="0"/>
        <v>2034</v>
      </c>
      <c r="B164" s="54" t="str">
        <f t="shared" si="1"/>
        <v>Q4</v>
      </c>
      <c r="C164" s="99">
        <v>49279</v>
      </c>
      <c r="D164" s="92" t="e">
        <f t="array" aca="1" ref="D164" ca="1">7000*(53%*0.4+47%*0.85)+2800*0.9*_xludf.IFS(B164="Q1",1.3,B164="Q2",0.7,B164="Q3",0.8,B164="Q4",1.2)</f>
        <v>#NAME?</v>
      </c>
      <c r="E164" s="92">
        <v>1046.8103914386152</v>
      </c>
      <c r="F164" s="92">
        <f t="shared" si="25"/>
        <v>0</v>
      </c>
      <c r="G164" s="92">
        <v>300</v>
      </c>
      <c r="H164" s="92"/>
      <c r="I164" s="92"/>
      <c r="J164" s="92" t="e">
        <f t="shared" ca="1" si="26"/>
        <v>#NAME?</v>
      </c>
      <c r="K164" s="92">
        <f t="shared" si="2"/>
        <v>0</v>
      </c>
      <c r="L164" s="92">
        <f>Financiamento!D173</f>
        <v>0</v>
      </c>
      <c r="M164" s="92">
        <f>Financiamento!C173</f>
        <v>0</v>
      </c>
      <c r="N164" s="92"/>
      <c r="O164" s="92"/>
      <c r="Q164" s="92" t="e">
        <f t="shared" ca="1" si="27"/>
        <v>#NAME?</v>
      </c>
      <c r="R164" s="92">
        <f t="shared" si="28"/>
        <v>-300</v>
      </c>
      <c r="S164" s="92" t="e">
        <f t="shared" ca="1" si="5"/>
        <v>#NAME?</v>
      </c>
      <c r="T164" s="92"/>
      <c r="U164" s="92" t="e">
        <f t="shared" ca="1" si="6"/>
        <v>#NAME?</v>
      </c>
      <c r="V164" s="92">
        <f t="shared" si="29"/>
        <v>0</v>
      </c>
      <c r="W164" s="92" t="e">
        <f t="shared" ca="1" si="8"/>
        <v>#NAME?</v>
      </c>
      <c r="X164" s="92" t="e">
        <f t="shared" ca="1" si="30"/>
        <v>#NAME?</v>
      </c>
      <c r="Y164" s="92" t="e">
        <f t="shared" ca="1" si="10"/>
        <v>#NAME?</v>
      </c>
      <c r="Z164" s="21"/>
      <c r="AA164" s="92" t="e">
        <f t="shared" ca="1" si="11"/>
        <v>#NAME?</v>
      </c>
      <c r="AB164" s="92">
        <f t="shared" si="31"/>
        <v>0</v>
      </c>
      <c r="AC164" s="92">
        <f t="shared" si="13"/>
        <v>0</v>
      </c>
      <c r="AD164" s="92">
        <f t="shared" si="32"/>
        <v>0</v>
      </c>
      <c r="AE164" s="92" t="e">
        <f t="shared" ca="1" si="15"/>
        <v>#NAME?</v>
      </c>
      <c r="AF164" s="92" t="e">
        <f t="shared" ca="1" si="23"/>
        <v>#NAME?</v>
      </c>
      <c r="AG164" s="92" t="e">
        <f t="shared" ca="1" si="16"/>
        <v>#NAME?</v>
      </c>
      <c r="AQ164" s="21" t="e">
        <f t="shared" ca="1" si="34"/>
        <v>#NAME?</v>
      </c>
      <c r="AR164" s="12" t="e">
        <f t="shared" ca="1" si="35"/>
        <v>#NAME?</v>
      </c>
    </row>
    <row r="165" spans="1:44" ht="15.75" customHeight="1" x14ac:dyDescent="0.35">
      <c r="A165" s="54">
        <f t="shared" si="0"/>
        <v>2035</v>
      </c>
      <c r="B165" s="54" t="str">
        <f t="shared" si="1"/>
        <v>Q1</v>
      </c>
      <c r="C165" s="99">
        <v>49310</v>
      </c>
      <c r="D165" s="92" t="e">
        <f t="array" aca="1" ref="D165" ca="1">7000*(53%*0.4+47%*0.85)+2800*0.9*_xludf.IFS(B165="Q1",1.3,B165="Q2",0.7,B165="Q3",0.8,B165="Q4",1.2)</f>
        <v>#NAME?</v>
      </c>
      <c r="E165" s="92">
        <v>1063.3389765665931</v>
      </c>
      <c r="F165" s="92">
        <f t="shared" si="25"/>
        <v>0</v>
      </c>
      <c r="G165" s="92">
        <v>300</v>
      </c>
      <c r="H165" s="92"/>
      <c r="I165" s="92"/>
      <c r="J165" s="92" t="e">
        <f t="shared" ca="1" si="26"/>
        <v>#NAME?</v>
      </c>
      <c r="K165" s="92">
        <f t="shared" si="2"/>
        <v>0</v>
      </c>
      <c r="L165" s="92">
        <f>Financiamento!D174</f>
        <v>0</v>
      </c>
      <c r="M165" s="92">
        <f>Financiamento!C174</f>
        <v>0</v>
      </c>
      <c r="N165" s="92"/>
      <c r="O165" s="92"/>
      <c r="Q165" s="92" t="e">
        <f t="shared" ca="1" si="27"/>
        <v>#NAME?</v>
      </c>
      <c r="R165" s="92">
        <f t="shared" si="28"/>
        <v>-300</v>
      </c>
      <c r="S165" s="92" t="e">
        <f t="shared" ca="1" si="5"/>
        <v>#NAME?</v>
      </c>
      <c r="T165" s="92"/>
      <c r="U165" s="92" t="e">
        <f t="shared" ca="1" si="6"/>
        <v>#NAME?</v>
      </c>
      <c r="V165" s="92">
        <f t="shared" si="29"/>
        <v>0</v>
      </c>
      <c r="W165" s="92" t="e">
        <f t="shared" ca="1" si="8"/>
        <v>#NAME?</v>
      </c>
      <c r="X165" s="92" t="e">
        <f t="shared" ca="1" si="30"/>
        <v>#NAME?</v>
      </c>
      <c r="Y165" s="92" t="e">
        <f t="shared" ca="1" si="10"/>
        <v>#NAME?</v>
      </c>
      <c r="Z165" s="21"/>
      <c r="AA165" s="92" t="e">
        <f t="shared" ca="1" si="11"/>
        <v>#NAME?</v>
      </c>
      <c r="AB165" s="92">
        <f t="shared" si="31"/>
        <v>0</v>
      </c>
      <c r="AC165" s="92">
        <f t="shared" si="13"/>
        <v>0</v>
      </c>
      <c r="AD165" s="92">
        <f t="shared" si="32"/>
        <v>0</v>
      </c>
      <c r="AE165" s="92" t="e">
        <f t="shared" ca="1" si="15"/>
        <v>#NAME?</v>
      </c>
      <c r="AF165" s="92" t="e">
        <f t="shared" ca="1" si="23"/>
        <v>#NAME?</v>
      </c>
      <c r="AG165" s="92" t="e">
        <f t="shared" ca="1" si="16"/>
        <v>#NAME?</v>
      </c>
      <c r="AQ165" s="21" t="e">
        <f t="shared" ca="1" si="34"/>
        <v>#NAME?</v>
      </c>
      <c r="AR165" s="12" t="e">
        <f t="shared" ca="1" si="35"/>
        <v>#NAME?</v>
      </c>
    </row>
    <row r="166" spans="1:44" ht="15.75" customHeight="1" x14ac:dyDescent="0.35">
      <c r="A166" s="54">
        <f t="shared" si="0"/>
        <v>2035</v>
      </c>
      <c r="B166" s="54" t="str">
        <f t="shared" si="1"/>
        <v>Q1</v>
      </c>
      <c r="C166" s="99">
        <v>49341</v>
      </c>
      <c r="D166" s="92" t="e">
        <f t="array" aca="1" ref="D166" ca="1">7000*(53%*0.4+47%*0.85)+2800*0.9*_xludf.IFS(B166="Q1",1.3,B166="Q2",0.7,B166="Q3",0.8,B166="Q4",1.2)</f>
        <v>#NAME?</v>
      </c>
      <c r="E166" s="92">
        <v>1020.1810042879835</v>
      </c>
      <c r="F166" s="92">
        <f t="shared" si="25"/>
        <v>0</v>
      </c>
      <c r="G166" s="92">
        <v>300</v>
      </c>
      <c r="H166" s="92"/>
      <c r="I166" s="92"/>
      <c r="J166" s="92" t="e">
        <f t="shared" ca="1" si="26"/>
        <v>#NAME?</v>
      </c>
      <c r="K166" s="92">
        <f t="shared" si="2"/>
        <v>0</v>
      </c>
      <c r="L166" s="92">
        <f>Financiamento!D175</f>
        <v>0</v>
      </c>
      <c r="M166" s="92">
        <f>Financiamento!C175</f>
        <v>0</v>
      </c>
      <c r="N166" s="92"/>
      <c r="O166" s="92"/>
      <c r="Q166" s="92" t="e">
        <f t="shared" ca="1" si="27"/>
        <v>#NAME?</v>
      </c>
      <c r="R166" s="92">
        <f t="shared" si="28"/>
        <v>-300</v>
      </c>
      <c r="S166" s="92" t="e">
        <f t="shared" ca="1" si="5"/>
        <v>#NAME?</v>
      </c>
      <c r="T166" s="92"/>
      <c r="U166" s="92" t="e">
        <f t="shared" ca="1" si="6"/>
        <v>#NAME?</v>
      </c>
      <c r="V166" s="92">
        <f t="shared" si="29"/>
        <v>0</v>
      </c>
      <c r="W166" s="92" t="e">
        <f t="shared" ca="1" si="8"/>
        <v>#NAME?</v>
      </c>
      <c r="X166" s="92" t="e">
        <f t="shared" ca="1" si="30"/>
        <v>#NAME?</v>
      </c>
      <c r="Y166" s="92" t="e">
        <f t="shared" ca="1" si="10"/>
        <v>#NAME?</v>
      </c>
      <c r="Z166" s="21"/>
      <c r="AA166" s="92" t="e">
        <f t="shared" ca="1" si="11"/>
        <v>#NAME?</v>
      </c>
      <c r="AB166" s="92">
        <f t="shared" si="31"/>
        <v>0</v>
      </c>
      <c r="AC166" s="92">
        <f t="shared" si="13"/>
        <v>0</v>
      </c>
      <c r="AD166" s="92">
        <f t="shared" si="32"/>
        <v>0</v>
      </c>
      <c r="AE166" s="92" t="e">
        <f t="shared" ca="1" si="15"/>
        <v>#NAME?</v>
      </c>
      <c r="AF166" s="92" t="e">
        <f t="shared" ca="1" si="23"/>
        <v>#NAME?</v>
      </c>
      <c r="AG166" s="92" t="e">
        <f t="shared" ca="1" si="16"/>
        <v>#NAME?</v>
      </c>
      <c r="AQ166" s="21" t="e">
        <f t="shared" ca="1" si="34"/>
        <v>#NAME?</v>
      </c>
      <c r="AR166" s="12" t="e">
        <f t="shared" ca="1" si="35"/>
        <v>#NAME?</v>
      </c>
    </row>
    <row r="167" spans="1:44" ht="15.75" customHeight="1" x14ac:dyDescent="0.35">
      <c r="A167" s="54">
        <f t="shared" si="0"/>
        <v>2035</v>
      </c>
      <c r="B167" s="54" t="str">
        <f t="shared" si="1"/>
        <v>Q1</v>
      </c>
      <c r="C167" s="99">
        <v>49369</v>
      </c>
      <c r="D167" s="92" t="e">
        <f t="array" aca="1" ref="D167" ca="1">7000*(53%*0.4+47%*0.85)+2800*0.9*_xludf.IFS(B167="Q1",1.3,B167="Q2",0.7,B167="Q3",0.8,B167="Q4",1.2)</f>
        <v>#NAME?</v>
      </c>
      <c r="E167" s="92">
        <v>1113.8429866798597</v>
      </c>
      <c r="F167" s="92">
        <f t="shared" si="25"/>
        <v>0</v>
      </c>
      <c r="G167" s="92">
        <v>300</v>
      </c>
      <c r="H167" s="92"/>
      <c r="I167" s="92"/>
      <c r="J167" s="92" t="e">
        <f t="shared" ca="1" si="26"/>
        <v>#NAME?</v>
      </c>
      <c r="K167" s="92">
        <f t="shared" si="2"/>
        <v>0</v>
      </c>
      <c r="L167" s="92">
        <f>Financiamento!D176</f>
        <v>0</v>
      </c>
      <c r="M167" s="92">
        <f>Financiamento!C176</f>
        <v>0</v>
      </c>
      <c r="N167" s="92"/>
      <c r="O167" s="92"/>
      <c r="Q167" s="92" t="e">
        <f t="shared" ca="1" si="27"/>
        <v>#NAME?</v>
      </c>
      <c r="R167" s="92">
        <f t="shared" si="28"/>
        <v>-300</v>
      </c>
      <c r="S167" s="92" t="e">
        <f t="shared" ca="1" si="5"/>
        <v>#NAME?</v>
      </c>
      <c r="T167" s="92"/>
      <c r="U167" s="92" t="e">
        <f t="shared" ca="1" si="6"/>
        <v>#NAME?</v>
      </c>
      <c r="V167" s="92">
        <f t="shared" si="29"/>
        <v>0</v>
      </c>
      <c r="W167" s="92" t="e">
        <f t="shared" ca="1" si="8"/>
        <v>#NAME?</v>
      </c>
      <c r="X167" s="92" t="e">
        <f t="shared" ca="1" si="30"/>
        <v>#NAME?</v>
      </c>
      <c r="Y167" s="92" t="e">
        <f t="shared" ca="1" si="10"/>
        <v>#NAME?</v>
      </c>
      <c r="Z167" s="21"/>
      <c r="AA167" s="92" t="e">
        <f t="shared" ca="1" si="11"/>
        <v>#NAME?</v>
      </c>
      <c r="AB167" s="92">
        <f t="shared" si="31"/>
        <v>0</v>
      </c>
      <c r="AC167" s="92">
        <f t="shared" si="13"/>
        <v>0</v>
      </c>
      <c r="AD167" s="92">
        <f t="shared" si="32"/>
        <v>0</v>
      </c>
      <c r="AE167" s="92" t="e">
        <f t="shared" ca="1" si="15"/>
        <v>#NAME?</v>
      </c>
      <c r="AF167" s="92" t="e">
        <f t="shared" ca="1" si="23"/>
        <v>#NAME?</v>
      </c>
      <c r="AG167" s="92" t="e">
        <f t="shared" ca="1" si="16"/>
        <v>#NAME?</v>
      </c>
      <c r="AQ167" s="21" t="e">
        <f t="shared" ca="1" si="34"/>
        <v>#NAME?</v>
      </c>
      <c r="AR167" s="12" t="e">
        <f t="shared" ca="1" si="35"/>
        <v>#NAME?</v>
      </c>
    </row>
    <row r="168" spans="1:44" ht="15.75" customHeight="1" x14ac:dyDescent="0.35">
      <c r="A168" s="54">
        <f t="shared" si="0"/>
        <v>2035</v>
      </c>
      <c r="B168" s="54" t="str">
        <f t="shared" si="1"/>
        <v>Q2</v>
      </c>
      <c r="C168" s="99">
        <v>49400</v>
      </c>
      <c r="D168" s="92" t="e">
        <f t="array" aca="1" ref="D168" ca="1">7000*(53%*0.4+47%*0.85)+2800*0.9*_xludf.IFS(B168="Q1",1.3,B168="Q2",0.7,B168="Q3",0.8,B168="Q4",1.2)</f>
        <v>#NAME?</v>
      </c>
      <c r="E168" s="92"/>
      <c r="F168" s="92">
        <f t="shared" si="25"/>
        <v>0</v>
      </c>
      <c r="G168" s="92">
        <v>300</v>
      </c>
      <c r="H168" s="92"/>
      <c r="I168" s="92"/>
      <c r="J168" s="92" t="e">
        <f t="shared" ca="1" si="26"/>
        <v>#NAME?</v>
      </c>
      <c r="K168" s="92">
        <f t="shared" si="2"/>
        <v>0</v>
      </c>
      <c r="L168" s="92">
        <f>Financiamento!D177</f>
        <v>0</v>
      </c>
      <c r="M168" s="92">
        <f>Financiamento!C177</f>
        <v>0</v>
      </c>
      <c r="N168" s="92"/>
      <c r="O168" s="92"/>
      <c r="Q168" s="92" t="e">
        <f t="shared" ca="1" si="27"/>
        <v>#NAME?</v>
      </c>
      <c r="R168" s="92">
        <f t="shared" si="28"/>
        <v>-300</v>
      </c>
      <c r="S168" s="92" t="e">
        <f t="shared" ca="1" si="5"/>
        <v>#NAME?</v>
      </c>
      <c r="T168" s="92"/>
      <c r="U168" s="92" t="e">
        <f t="shared" ca="1" si="6"/>
        <v>#NAME?</v>
      </c>
      <c r="V168" s="92">
        <f t="shared" si="29"/>
        <v>0</v>
      </c>
      <c r="W168" s="92" t="e">
        <f t="shared" ca="1" si="8"/>
        <v>#NAME?</v>
      </c>
      <c r="X168" s="92" t="e">
        <f t="shared" ca="1" si="30"/>
        <v>#NAME?</v>
      </c>
      <c r="Y168" s="92" t="e">
        <f t="shared" ca="1" si="10"/>
        <v>#NAME?</v>
      </c>
      <c r="Z168" s="21"/>
      <c r="AA168" s="92" t="e">
        <f t="shared" ca="1" si="11"/>
        <v>#NAME?</v>
      </c>
      <c r="AB168" s="92">
        <f t="shared" si="31"/>
        <v>0</v>
      </c>
      <c r="AC168" s="92">
        <f t="shared" si="13"/>
        <v>0</v>
      </c>
      <c r="AD168" s="92">
        <f t="shared" si="32"/>
        <v>0</v>
      </c>
      <c r="AE168" s="92" t="e">
        <f t="shared" ca="1" si="15"/>
        <v>#NAME?</v>
      </c>
      <c r="AF168" s="92" t="e">
        <f t="shared" ca="1" si="23"/>
        <v>#NAME?</v>
      </c>
      <c r="AG168" s="92" t="e">
        <f t="shared" ca="1" si="16"/>
        <v>#NAME?</v>
      </c>
      <c r="AQ168" s="21" t="e">
        <f t="shared" ca="1" si="34"/>
        <v>#NAME?</v>
      </c>
      <c r="AR168" s="12" t="e">
        <f t="shared" ca="1" si="35"/>
        <v>#NAME?</v>
      </c>
    </row>
    <row r="169" spans="1:44" ht="15.75" customHeight="1" x14ac:dyDescent="0.35">
      <c r="A169" s="54">
        <f t="shared" si="0"/>
        <v>2035</v>
      </c>
      <c r="B169" s="54" t="str">
        <f t="shared" si="1"/>
        <v>Q2</v>
      </c>
      <c r="C169" s="99">
        <v>49430</v>
      </c>
      <c r="D169" s="92" t="e">
        <f t="array" aca="1" ref="D169" ca="1">7000*(53%*0.4+47%*0.85)+2800*0.9*_xludf.IFS(B169="Q1",1.3,B169="Q2",0.7,B169="Q3",0.8,B169="Q4",1.2)</f>
        <v>#NAME?</v>
      </c>
      <c r="E169" s="92"/>
      <c r="F169" s="92">
        <f t="shared" si="25"/>
        <v>0</v>
      </c>
      <c r="G169" s="92">
        <v>300</v>
      </c>
      <c r="H169" s="92"/>
      <c r="I169" s="92"/>
      <c r="J169" s="92" t="e">
        <f t="shared" ca="1" si="26"/>
        <v>#NAME?</v>
      </c>
      <c r="K169" s="92">
        <f t="shared" si="2"/>
        <v>0</v>
      </c>
      <c r="L169" s="92">
        <f>Financiamento!D178</f>
        <v>0</v>
      </c>
      <c r="M169" s="92">
        <f>Financiamento!C178</f>
        <v>0</v>
      </c>
      <c r="N169" s="92"/>
      <c r="O169" s="92"/>
      <c r="Q169" s="92" t="e">
        <f t="shared" ca="1" si="27"/>
        <v>#NAME?</v>
      </c>
      <c r="R169" s="92">
        <f t="shared" si="28"/>
        <v>-300</v>
      </c>
      <c r="S169" s="92" t="e">
        <f t="shared" ca="1" si="5"/>
        <v>#NAME?</v>
      </c>
      <c r="T169" s="92"/>
      <c r="U169" s="92" t="e">
        <f t="shared" ca="1" si="6"/>
        <v>#NAME?</v>
      </c>
      <c r="V169" s="92">
        <f t="shared" si="29"/>
        <v>0</v>
      </c>
      <c r="W169" s="92" t="e">
        <f t="shared" ca="1" si="8"/>
        <v>#NAME?</v>
      </c>
      <c r="X169" s="92" t="e">
        <f t="shared" ca="1" si="30"/>
        <v>#NAME?</v>
      </c>
      <c r="Y169" s="92" t="e">
        <f t="shared" ca="1" si="10"/>
        <v>#NAME?</v>
      </c>
      <c r="Z169" s="21"/>
      <c r="AA169" s="92" t="e">
        <f t="shared" ca="1" si="11"/>
        <v>#NAME?</v>
      </c>
      <c r="AB169" s="92">
        <f t="shared" si="31"/>
        <v>0</v>
      </c>
      <c r="AC169" s="92">
        <f t="shared" si="13"/>
        <v>0</v>
      </c>
      <c r="AD169" s="92">
        <f t="shared" si="32"/>
        <v>0</v>
      </c>
      <c r="AE169" s="92" t="e">
        <f t="shared" ca="1" si="15"/>
        <v>#NAME?</v>
      </c>
      <c r="AF169" s="92" t="e">
        <f t="shared" ca="1" si="23"/>
        <v>#NAME?</v>
      </c>
      <c r="AG169" s="92" t="e">
        <f t="shared" ca="1" si="16"/>
        <v>#NAME?</v>
      </c>
      <c r="AQ169" s="21" t="e">
        <f t="shared" ca="1" si="34"/>
        <v>#NAME?</v>
      </c>
      <c r="AR169" s="12" t="e">
        <f t="shared" ca="1" si="35"/>
        <v>#NAME?</v>
      </c>
    </row>
    <row r="170" spans="1:44" ht="15.75" customHeight="1" x14ac:dyDescent="0.35">
      <c r="A170" s="54">
        <f t="shared" si="0"/>
        <v>2035</v>
      </c>
      <c r="B170" s="54" t="str">
        <f t="shared" si="1"/>
        <v>Q2</v>
      </c>
      <c r="C170" s="99">
        <v>49461</v>
      </c>
      <c r="D170" s="92" t="e">
        <f t="array" aca="1" ref="D170" ca="1">7000*(53%*0.4+47%*0.85)+2800*0.9*_xludf.IFS(B170="Q1",1.3,B170="Q2",0.7,B170="Q3",0.8,B170="Q4",1.2)</f>
        <v>#NAME?</v>
      </c>
      <c r="E170" s="92"/>
      <c r="F170" s="92">
        <f t="shared" si="25"/>
        <v>0</v>
      </c>
      <c r="G170" s="92">
        <v>300</v>
      </c>
      <c r="H170" s="92"/>
      <c r="I170" s="92"/>
      <c r="J170" s="92" t="e">
        <f t="shared" ca="1" si="26"/>
        <v>#NAME?</v>
      </c>
      <c r="K170" s="92">
        <f t="shared" si="2"/>
        <v>0</v>
      </c>
      <c r="L170" s="92">
        <f>Financiamento!D179</f>
        <v>0</v>
      </c>
      <c r="M170" s="92">
        <f>Financiamento!C179</f>
        <v>0</v>
      </c>
      <c r="N170" s="92"/>
      <c r="O170" s="92"/>
      <c r="Q170" s="92" t="e">
        <f t="shared" ca="1" si="27"/>
        <v>#NAME?</v>
      </c>
      <c r="R170" s="92">
        <f t="shared" si="28"/>
        <v>-300</v>
      </c>
      <c r="S170" s="92" t="e">
        <f t="shared" ca="1" si="5"/>
        <v>#NAME?</v>
      </c>
      <c r="T170" s="92"/>
      <c r="U170" s="92" t="e">
        <f t="shared" ca="1" si="6"/>
        <v>#NAME?</v>
      </c>
      <c r="V170" s="92">
        <f t="shared" si="29"/>
        <v>0</v>
      </c>
      <c r="W170" s="92" t="e">
        <f t="shared" ca="1" si="8"/>
        <v>#NAME?</v>
      </c>
      <c r="X170" s="92" t="e">
        <f t="shared" ca="1" si="30"/>
        <v>#NAME?</v>
      </c>
      <c r="Y170" s="92" t="e">
        <f t="shared" ca="1" si="10"/>
        <v>#NAME?</v>
      </c>
      <c r="Z170" s="21"/>
      <c r="AA170" s="92" t="e">
        <f t="shared" ca="1" si="11"/>
        <v>#NAME?</v>
      </c>
      <c r="AB170" s="92">
        <f t="shared" si="31"/>
        <v>0</v>
      </c>
      <c r="AC170" s="92">
        <f t="shared" si="13"/>
        <v>0</v>
      </c>
      <c r="AD170" s="92">
        <f t="shared" si="32"/>
        <v>0</v>
      </c>
      <c r="AE170" s="92" t="e">
        <f t="shared" ca="1" si="15"/>
        <v>#NAME?</v>
      </c>
      <c r="AF170" s="92" t="e">
        <f t="shared" ca="1" si="23"/>
        <v>#NAME?</v>
      </c>
      <c r="AG170" s="92" t="e">
        <f t="shared" ca="1" si="16"/>
        <v>#NAME?</v>
      </c>
      <c r="AQ170" s="21" t="e">
        <f t="shared" ca="1" si="34"/>
        <v>#NAME?</v>
      </c>
      <c r="AR170" s="12" t="e">
        <f t="shared" ca="1" si="35"/>
        <v>#NAME?</v>
      </c>
    </row>
    <row r="171" spans="1:44" ht="15.75" customHeight="1" x14ac:dyDescent="0.35">
      <c r="A171" s="54">
        <f t="shared" si="0"/>
        <v>2035</v>
      </c>
      <c r="B171" s="54" t="str">
        <f t="shared" si="1"/>
        <v>Q3</v>
      </c>
      <c r="C171" s="99">
        <v>49491</v>
      </c>
      <c r="D171" s="92" t="e">
        <f t="array" aca="1" ref="D171" ca="1">7000*(53%*0.4+47%*0.85)+2800*0.9*_xludf.IFS(B171="Q1",1.3,B171="Q2",0.7,B171="Q3",0.8,B171="Q4",1.2)</f>
        <v>#NAME?</v>
      </c>
      <c r="E171" s="92"/>
      <c r="F171" s="92">
        <f t="shared" si="25"/>
        <v>0</v>
      </c>
      <c r="G171" s="92">
        <v>300</v>
      </c>
      <c r="H171" s="92"/>
      <c r="I171" s="92"/>
      <c r="J171" s="92" t="e">
        <f t="shared" ca="1" si="26"/>
        <v>#NAME?</v>
      </c>
      <c r="K171" s="92">
        <f t="shared" si="2"/>
        <v>0</v>
      </c>
      <c r="L171" s="92">
        <f>Financiamento!D180</f>
        <v>0</v>
      </c>
      <c r="M171" s="92">
        <f>Financiamento!C180</f>
        <v>0</v>
      </c>
      <c r="N171" s="92"/>
      <c r="O171" s="92"/>
      <c r="Q171" s="92" t="e">
        <f t="shared" ca="1" si="27"/>
        <v>#NAME?</v>
      </c>
      <c r="R171" s="92">
        <f t="shared" si="28"/>
        <v>-300</v>
      </c>
      <c r="S171" s="92" t="e">
        <f t="shared" ca="1" si="5"/>
        <v>#NAME?</v>
      </c>
      <c r="T171" s="92"/>
      <c r="U171" s="92" t="e">
        <f t="shared" ca="1" si="6"/>
        <v>#NAME?</v>
      </c>
      <c r="V171" s="92">
        <f t="shared" si="29"/>
        <v>0</v>
      </c>
      <c r="W171" s="92" t="e">
        <f t="shared" ca="1" si="8"/>
        <v>#NAME?</v>
      </c>
      <c r="X171" s="92" t="e">
        <f t="shared" ca="1" si="30"/>
        <v>#NAME?</v>
      </c>
      <c r="Y171" s="92" t="e">
        <f t="shared" ca="1" si="10"/>
        <v>#NAME?</v>
      </c>
      <c r="Z171" s="21"/>
      <c r="AA171" s="92" t="e">
        <f t="shared" ca="1" si="11"/>
        <v>#NAME?</v>
      </c>
      <c r="AB171" s="92">
        <f t="shared" si="31"/>
        <v>0</v>
      </c>
      <c r="AC171" s="92">
        <f t="shared" si="13"/>
        <v>0</v>
      </c>
      <c r="AD171" s="92">
        <f t="shared" si="32"/>
        <v>0</v>
      </c>
      <c r="AE171" s="92" t="e">
        <f t="shared" ca="1" si="15"/>
        <v>#NAME?</v>
      </c>
      <c r="AF171" s="92" t="e">
        <f t="shared" ca="1" si="23"/>
        <v>#NAME?</v>
      </c>
      <c r="AG171" s="92" t="e">
        <f t="shared" ca="1" si="16"/>
        <v>#NAME?</v>
      </c>
      <c r="AQ171" s="21" t="e">
        <f t="shared" ca="1" si="34"/>
        <v>#NAME?</v>
      </c>
      <c r="AR171" s="12" t="e">
        <f t="shared" ca="1" si="35"/>
        <v>#NAME?</v>
      </c>
    </row>
    <row r="172" spans="1:44" ht="15.75" customHeight="1" x14ac:dyDescent="0.35">
      <c r="A172" s="54">
        <f t="shared" si="0"/>
        <v>2035</v>
      </c>
      <c r="B172" s="54" t="str">
        <f t="shared" si="1"/>
        <v>Q3</v>
      </c>
      <c r="C172" s="99">
        <v>49522</v>
      </c>
      <c r="D172" s="92" t="e">
        <f t="array" aca="1" ref="D172" ca="1">7000*(53%*0.4+47%*0.85)+2800*0.9*_xludf.IFS(B172="Q1",1.3,B172="Q2",0.7,B172="Q3",0.8,B172="Q4",1.2)</f>
        <v>#NAME?</v>
      </c>
      <c r="E172" s="92"/>
      <c r="F172" s="92">
        <f t="shared" si="25"/>
        <v>0</v>
      </c>
      <c r="G172" s="92">
        <v>300</v>
      </c>
      <c r="H172" s="92"/>
      <c r="I172" s="92"/>
      <c r="J172" s="92" t="e">
        <f t="shared" ca="1" si="26"/>
        <v>#NAME?</v>
      </c>
      <c r="K172" s="92">
        <f t="shared" si="2"/>
        <v>0</v>
      </c>
      <c r="L172" s="92">
        <f>Financiamento!D181</f>
        <v>0</v>
      </c>
      <c r="M172" s="92">
        <f>Financiamento!C181</f>
        <v>0</v>
      </c>
      <c r="N172" s="92"/>
      <c r="O172" s="92"/>
      <c r="Q172" s="92" t="e">
        <f t="shared" ca="1" si="27"/>
        <v>#NAME?</v>
      </c>
      <c r="R172" s="92">
        <f t="shared" si="28"/>
        <v>-300</v>
      </c>
      <c r="S172" s="92" t="e">
        <f t="shared" ca="1" si="5"/>
        <v>#NAME?</v>
      </c>
      <c r="T172" s="92"/>
      <c r="U172" s="92" t="e">
        <f t="shared" ca="1" si="6"/>
        <v>#NAME?</v>
      </c>
      <c r="V172" s="92">
        <f t="shared" si="29"/>
        <v>0</v>
      </c>
      <c r="W172" s="92" t="e">
        <f t="shared" ca="1" si="8"/>
        <v>#NAME?</v>
      </c>
      <c r="X172" s="92" t="e">
        <f t="shared" ca="1" si="30"/>
        <v>#NAME?</v>
      </c>
      <c r="Y172" s="92" t="e">
        <f t="shared" ca="1" si="10"/>
        <v>#NAME?</v>
      </c>
      <c r="Z172" s="21"/>
      <c r="AA172" s="92" t="e">
        <f t="shared" ca="1" si="11"/>
        <v>#NAME?</v>
      </c>
      <c r="AB172" s="92">
        <f t="shared" si="31"/>
        <v>0</v>
      </c>
      <c r="AC172" s="92">
        <f t="shared" si="13"/>
        <v>0</v>
      </c>
      <c r="AD172" s="92">
        <f t="shared" si="32"/>
        <v>0</v>
      </c>
      <c r="AE172" s="92" t="e">
        <f t="shared" ca="1" si="15"/>
        <v>#NAME?</v>
      </c>
      <c r="AF172" s="92" t="e">
        <f t="shared" ca="1" si="23"/>
        <v>#NAME?</v>
      </c>
      <c r="AG172" s="92" t="e">
        <f t="shared" ca="1" si="16"/>
        <v>#NAME?</v>
      </c>
      <c r="AQ172" s="21" t="e">
        <f t="shared" ca="1" si="34"/>
        <v>#NAME?</v>
      </c>
      <c r="AR172" s="12" t="e">
        <f t="shared" ca="1" si="35"/>
        <v>#NAME?</v>
      </c>
    </row>
    <row r="173" spans="1:44" ht="15.75" customHeight="1" x14ac:dyDescent="0.35">
      <c r="A173" s="54">
        <f t="shared" si="0"/>
        <v>2035</v>
      </c>
      <c r="B173" s="54" t="str">
        <f t="shared" si="1"/>
        <v>Q3</v>
      </c>
      <c r="C173" s="99">
        <v>49553</v>
      </c>
      <c r="D173" s="92" t="e">
        <f t="array" aca="1" ref="D173" ca="1">7000*(53%*0.4+47%*0.85)+2800*0.9*_xludf.IFS(B173="Q1",1.3,B173="Q2",0.7,B173="Q3",0.8,B173="Q4",1.2)</f>
        <v>#NAME?</v>
      </c>
      <c r="E173" s="92"/>
      <c r="F173" s="92">
        <f t="shared" si="25"/>
        <v>0</v>
      </c>
      <c r="G173" s="92">
        <v>300</v>
      </c>
      <c r="H173" s="92"/>
      <c r="I173" s="92"/>
      <c r="J173" s="92" t="e">
        <f t="shared" ca="1" si="26"/>
        <v>#NAME?</v>
      </c>
      <c r="K173" s="92">
        <f t="shared" si="2"/>
        <v>0</v>
      </c>
      <c r="L173" s="92">
        <f>Financiamento!D182</f>
        <v>0</v>
      </c>
      <c r="M173" s="92">
        <f>Financiamento!C182</f>
        <v>0</v>
      </c>
      <c r="N173" s="92"/>
      <c r="O173" s="92"/>
      <c r="Q173" s="92" t="e">
        <f t="shared" ca="1" si="27"/>
        <v>#NAME?</v>
      </c>
      <c r="R173" s="92">
        <f t="shared" si="28"/>
        <v>-300</v>
      </c>
      <c r="S173" s="92" t="e">
        <f t="shared" ca="1" si="5"/>
        <v>#NAME?</v>
      </c>
      <c r="T173" s="92"/>
      <c r="U173" s="92" t="e">
        <f t="shared" ca="1" si="6"/>
        <v>#NAME?</v>
      </c>
      <c r="V173" s="92">
        <f t="shared" si="29"/>
        <v>0</v>
      </c>
      <c r="W173" s="92" t="e">
        <f t="shared" ca="1" si="8"/>
        <v>#NAME?</v>
      </c>
      <c r="X173" s="92" t="e">
        <f t="shared" ca="1" si="30"/>
        <v>#NAME?</v>
      </c>
      <c r="Y173" s="92" t="e">
        <f t="shared" ca="1" si="10"/>
        <v>#NAME?</v>
      </c>
      <c r="Z173" s="21"/>
      <c r="AA173" s="92" t="e">
        <f t="shared" ca="1" si="11"/>
        <v>#NAME?</v>
      </c>
      <c r="AB173" s="92">
        <f t="shared" si="31"/>
        <v>0</v>
      </c>
      <c r="AC173" s="92">
        <f t="shared" si="13"/>
        <v>0</v>
      </c>
      <c r="AD173" s="92">
        <f t="shared" si="32"/>
        <v>0</v>
      </c>
      <c r="AE173" s="92" t="e">
        <f t="shared" ca="1" si="15"/>
        <v>#NAME?</v>
      </c>
      <c r="AF173" s="92" t="e">
        <f t="shared" ca="1" si="23"/>
        <v>#NAME?</v>
      </c>
      <c r="AG173" s="92" t="e">
        <f t="shared" ca="1" si="16"/>
        <v>#NAME?</v>
      </c>
      <c r="AQ173" s="21" t="e">
        <f t="shared" ca="1" si="34"/>
        <v>#NAME?</v>
      </c>
      <c r="AR173" s="12" t="e">
        <f t="shared" ca="1" si="35"/>
        <v>#NAME?</v>
      </c>
    </row>
    <row r="174" spans="1:44" ht="15.75" customHeight="1" x14ac:dyDescent="0.35">
      <c r="A174" s="54">
        <f t="shared" si="0"/>
        <v>2035</v>
      </c>
      <c r="B174" s="54" t="str">
        <f t="shared" si="1"/>
        <v>Q4</v>
      </c>
      <c r="C174" s="99">
        <v>49583</v>
      </c>
      <c r="D174" s="92" t="e">
        <f t="array" aca="1" ref="D174" ca="1">7000*(53%*0.4+47%*0.85)+2800*0.9*_xludf.IFS(B174="Q1",1.3,B174="Q2",0.7,B174="Q3",0.8,B174="Q4",1.2)</f>
        <v>#NAME?</v>
      </c>
      <c r="E174" s="92"/>
      <c r="F174" s="92">
        <f t="shared" si="25"/>
        <v>0</v>
      </c>
      <c r="G174" s="92">
        <v>300</v>
      </c>
      <c r="H174" s="92"/>
      <c r="I174" s="92"/>
      <c r="J174" s="92" t="e">
        <f t="shared" ca="1" si="26"/>
        <v>#NAME?</v>
      </c>
      <c r="K174" s="92">
        <f t="shared" si="2"/>
        <v>0</v>
      </c>
      <c r="L174" s="92">
        <f>Financiamento!D183</f>
        <v>0</v>
      </c>
      <c r="M174" s="92">
        <f>Financiamento!C183</f>
        <v>0</v>
      </c>
      <c r="N174" s="92"/>
      <c r="O174" s="92"/>
      <c r="Q174" s="92" t="e">
        <f t="shared" ca="1" si="27"/>
        <v>#NAME?</v>
      </c>
      <c r="R174" s="92">
        <f t="shared" si="28"/>
        <v>-300</v>
      </c>
      <c r="S174" s="92" t="e">
        <f t="shared" ca="1" si="5"/>
        <v>#NAME?</v>
      </c>
      <c r="T174" s="92"/>
      <c r="U174" s="92" t="e">
        <f t="shared" ca="1" si="6"/>
        <v>#NAME?</v>
      </c>
      <c r="V174" s="92">
        <f t="shared" si="29"/>
        <v>0</v>
      </c>
      <c r="W174" s="92" t="e">
        <f t="shared" ca="1" si="8"/>
        <v>#NAME?</v>
      </c>
      <c r="X174" s="92" t="e">
        <f t="shared" ca="1" si="30"/>
        <v>#NAME?</v>
      </c>
      <c r="Y174" s="92" t="e">
        <f t="shared" ca="1" si="10"/>
        <v>#NAME?</v>
      </c>
      <c r="Z174" s="21"/>
      <c r="AA174" s="92" t="e">
        <f t="shared" ca="1" si="11"/>
        <v>#NAME?</v>
      </c>
      <c r="AB174" s="92">
        <f t="shared" si="31"/>
        <v>0</v>
      </c>
      <c r="AC174" s="92">
        <f t="shared" si="13"/>
        <v>0</v>
      </c>
      <c r="AD174" s="92">
        <f t="shared" si="32"/>
        <v>0</v>
      </c>
      <c r="AE174" s="92" t="e">
        <f t="shared" ca="1" si="15"/>
        <v>#NAME?</v>
      </c>
      <c r="AF174" s="92" t="e">
        <f t="shared" ca="1" si="23"/>
        <v>#NAME?</v>
      </c>
      <c r="AG174" s="92" t="e">
        <f t="shared" ca="1" si="16"/>
        <v>#NAME?</v>
      </c>
      <c r="AQ174" s="21" t="e">
        <f t="shared" ca="1" si="34"/>
        <v>#NAME?</v>
      </c>
      <c r="AR174" s="12" t="e">
        <f t="shared" ca="1" si="35"/>
        <v>#NAME?</v>
      </c>
    </row>
    <row r="175" spans="1:44" ht="15.75" customHeight="1" x14ac:dyDescent="0.35">
      <c r="A175" s="54">
        <f t="shared" si="0"/>
        <v>2035</v>
      </c>
      <c r="B175" s="54" t="str">
        <f t="shared" si="1"/>
        <v>Q4</v>
      </c>
      <c r="C175" s="99">
        <v>49614</v>
      </c>
      <c r="D175" s="92" t="e">
        <f t="array" aca="1" ref="D175" ca="1">7000*(53%*0.4+47%*0.85)+2800*0.9*_xludf.IFS(B175="Q1",1.3,B175="Q2",0.7,B175="Q3",0.8,B175="Q4",1.2)</f>
        <v>#NAME?</v>
      </c>
      <c r="E175" s="92"/>
      <c r="F175" s="92">
        <f t="shared" si="25"/>
        <v>2000</v>
      </c>
      <c r="G175" s="92">
        <v>300</v>
      </c>
      <c r="H175" s="92"/>
      <c r="I175" s="92"/>
      <c r="J175" s="92" t="e">
        <f t="shared" ca="1" si="26"/>
        <v>#NAME?</v>
      </c>
      <c r="K175" s="92">
        <f t="shared" si="2"/>
        <v>0</v>
      </c>
      <c r="L175" s="92">
        <f>Financiamento!D184</f>
        <v>0</v>
      </c>
      <c r="M175" s="92">
        <f>Financiamento!C184</f>
        <v>0</v>
      </c>
      <c r="N175" s="92"/>
      <c r="O175" s="92"/>
      <c r="Q175" s="92" t="e">
        <f t="shared" ca="1" si="27"/>
        <v>#NAME?</v>
      </c>
      <c r="R175" s="92">
        <f t="shared" si="28"/>
        <v>-2300</v>
      </c>
      <c r="S175" s="92" t="e">
        <f t="shared" ca="1" si="5"/>
        <v>#NAME?</v>
      </c>
      <c r="T175" s="92"/>
      <c r="U175" s="92" t="e">
        <f t="shared" ca="1" si="6"/>
        <v>#NAME?</v>
      </c>
      <c r="V175" s="92">
        <f t="shared" si="29"/>
        <v>0</v>
      </c>
      <c r="W175" s="92" t="e">
        <f t="shared" ca="1" si="8"/>
        <v>#NAME?</v>
      </c>
      <c r="X175" s="92" t="e">
        <f t="shared" ca="1" si="30"/>
        <v>#NAME?</v>
      </c>
      <c r="Y175" s="92" t="e">
        <f t="shared" ca="1" si="10"/>
        <v>#NAME?</v>
      </c>
      <c r="Z175" s="21"/>
      <c r="AA175" s="92" t="e">
        <f t="shared" ca="1" si="11"/>
        <v>#NAME?</v>
      </c>
      <c r="AB175" s="92">
        <f t="shared" si="31"/>
        <v>0</v>
      </c>
      <c r="AC175" s="92">
        <f t="shared" si="13"/>
        <v>0</v>
      </c>
      <c r="AD175" s="92">
        <f t="shared" si="32"/>
        <v>0</v>
      </c>
      <c r="AE175" s="92" t="e">
        <f t="shared" ca="1" si="15"/>
        <v>#NAME?</v>
      </c>
      <c r="AF175" s="92" t="e">
        <f t="shared" ca="1" si="23"/>
        <v>#NAME?</v>
      </c>
      <c r="AG175" s="92" t="e">
        <f t="shared" ca="1" si="16"/>
        <v>#NAME?</v>
      </c>
      <c r="AQ175" s="21" t="e">
        <f t="shared" ca="1" si="34"/>
        <v>#NAME?</v>
      </c>
      <c r="AR175" s="12" t="e">
        <f t="shared" ca="1" si="35"/>
        <v>#NAME?</v>
      </c>
    </row>
    <row r="176" spans="1:44" ht="15.75" customHeight="1" x14ac:dyDescent="0.35">
      <c r="A176" s="54">
        <f t="shared" si="0"/>
        <v>2035</v>
      </c>
      <c r="B176" s="54" t="str">
        <f t="shared" si="1"/>
        <v>Q4</v>
      </c>
      <c r="C176" s="99">
        <v>49644</v>
      </c>
      <c r="D176" s="92" t="e">
        <f t="array" aca="1" ref="D176" ca="1">7000*(53%*0.4+47%*0.85)+2800*0.9*_xludf.IFS(B176="Q1",1.3,B176="Q2",0.7,B176="Q3",0.8,B176="Q4",1.2)</f>
        <v>#NAME?</v>
      </c>
      <c r="E176" s="92"/>
      <c r="F176" s="92">
        <f t="shared" si="25"/>
        <v>0</v>
      </c>
      <c r="G176" s="92">
        <v>300</v>
      </c>
      <c r="H176" s="92"/>
      <c r="I176" s="92"/>
      <c r="J176" s="92" t="e">
        <f t="shared" ca="1" si="26"/>
        <v>#NAME?</v>
      </c>
      <c r="K176" s="92">
        <f t="shared" si="2"/>
        <v>0</v>
      </c>
      <c r="L176" s="92">
        <f>Financiamento!D185</f>
        <v>0</v>
      </c>
      <c r="M176" s="92">
        <f>Financiamento!C185</f>
        <v>0</v>
      </c>
      <c r="N176" s="92"/>
      <c r="O176" s="92"/>
      <c r="Q176" s="92" t="e">
        <f t="shared" ca="1" si="27"/>
        <v>#NAME?</v>
      </c>
      <c r="R176" s="92">
        <f t="shared" si="28"/>
        <v>-300</v>
      </c>
      <c r="S176" s="92" t="e">
        <f t="shared" ca="1" si="5"/>
        <v>#NAME?</v>
      </c>
      <c r="T176" s="92"/>
      <c r="U176" s="92" t="e">
        <f t="shared" ca="1" si="6"/>
        <v>#NAME?</v>
      </c>
      <c r="V176" s="92">
        <f t="shared" si="29"/>
        <v>0</v>
      </c>
      <c r="W176" s="92" t="e">
        <f t="shared" ca="1" si="8"/>
        <v>#NAME?</v>
      </c>
      <c r="X176" s="92" t="e">
        <f t="shared" ca="1" si="30"/>
        <v>#NAME?</v>
      </c>
      <c r="Y176" s="92" t="e">
        <f t="shared" ca="1" si="10"/>
        <v>#NAME?</v>
      </c>
      <c r="Z176" s="21"/>
      <c r="AA176" s="92" t="e">
        <f t="shared" ca="1" si="11"/>
        <v>#NAME?</v>
      </c>
      <c r="AB176" s="92">
        <f t="shared" si="31"/>
        <v>0</v>
      </c>
      <c r="AC176" s="92">
        <f t="shared" si="13"/>
        <v>0</v>
      </c>
      <c r="AD176" s="92">
        <f t="shared" si="32"/>
        <v>0</v>
      </c>
      <c r="AE176" s="92" t="e">
        <f t="shared" ca="1" si="15"/>
        <v>#NAME?</v>
      </c>
      <c r="AF176" s="92" t="e">
        <f t="shared" ca="1" si="23"/>
        <v>#NAME?</v>
      </c>
      <c r="AG176" s="92" t="e">
        <f t="shared" ca="1" si="16"/>
        <v>#NAME?</v>
      </c>
      <c r="AQ176" s="21" t="e">
        <f t="shared" ca="1" si="34"/>
        <v>#NAME?</v>
      </c>
      <c r="AR176" s="12" t="e">
        <f t="shared" ca="1" si="35"/>
        <v>#NAME?</v>
      </c>
    </row>
    <row r="177" spans="3:46" ht="15.75" customHeight="1" x14ac:dyDescent="0.35">
      <c r="C177" s="99">
        <v>49675</v>
      </c>
      <c r="AQ177" s="12">
        <v>6683.33</v>
      </c>
      <c r="AR177" s="12">
        <f t="shared" ref="AR177:AR236" si="36">AQ177</f>
        <v>6683.33</v>
      </c>
    </row>
    <row r="178" spans="3:46" ht="15.75" customHeight="1" x14ac:dyDescent="0.35">
      <c r="C178" s="99">
        <v>49706</v>
      </c>
      <c r="AQ178" s="12">
        <v>6683.33</v>
      </c>
      <c r="AR178" s="12">
        <f t="shared" si="36"/>
        <v>6683.33</v>
      </c>
    </row>
    <row r="179" spans="3:46" ht="15.75" customHeight="1" x14ac:dyDescent="0.35">
      <c r="C179" s="99">
        <v>49735</v>
      </c>
      <c r="AQ179" s="12">
        <v>6683.33</v>
      </c>
      <c r="AR179" s="12">
        <f t="shared" si="36"/>
        <v>6683.33</v>
      </c>
    </row>
    <row r="180" spans="3:46" ht="15.75" customHeight="1" x14ac:dyDescent="0.35">
      <c r="C180" s="99">
        <v>49766</v>
      </c>
      <c r="AQ180" s="12">
        <v>6683.33</v>
      </c>
      <c r="AR180" s="12">
        <f t="shared" si="36"/>
        <v>6683.33</v>
      </c>
      <c r="AS180" s="12" t="s">
        <v>225</v>
      </c>
      <c r="AT180" s="12" t="e">
        <f ca="1">XIRR(AQ4:AQ176,C4:C176)</f>
        <v>#NAME?</v>
      </c>
    </row>
    <row r="181" spans="3:46" ht="15.75" customHeight="1" x14ac:dyDescent="0.35">
      <c r="C181" s="99">
        <v>49796</v>
      </c>
      <c r="AQ181" s="12">
        <v>6683.33</v>
      </c>
      <c r="AR181" s="12">
        <f t="shared" si="36"/>
        <v>6683.33</v>
      </c>
      <c r="AS181" s="12" t="s">
        <v>226</v>
      </c>
      <c r="AT181" s="12" t="e">
        <f ca="1">XIRR(AQ4:AQ236,C4:C236)</f>
        <v>#NAME?</v>
      </c>
    </row>
    <row r="182" spans="3:46" ht="15.75" customHeight="1" x14ac:dyDescent="0.35">
      <c r="C182" s="99">
        <v>49827</v>
      </c>
      <c r="AQ182" s="12">
        <v>6683.33</v>
      </c>
      <c r="AR182" s="12">
        <f t="shared" si="36"/>
        <v>6683.33</v>
      </c>
      <c r="AS182" s="12" t="s">
        <v>227</v>
      </c>
      <c r="AT182" s="12" t="e">
        <f ca="1">XIRR(AR4:AR176,C4:C176)</f>
        <v>#NAME?</v>
      </c>
    </row>
    <row r="183" spans="3:46" ht="15.75" customHeight="1" x14ac:dyDescent="0.35">
      <c r="C183" s="99">
        <v>49857</v>
      </c>
      <c r="AQ183" s="12">
        <v>6683.33</v>
      </c>
      <c r="AR183" s="12">
        <f t="shared" si="36"/>
        <v>6683.33</v>
      </c>
      <c r="AS183" s="12" t="s">
        <v>227</v>
      </c>
      <c r="AT183" s="12" t="e">
        <f ca="1">XIRR(AR4:AR236,C4:C236)</f>
        <v>#NAME?</v>
      </c>
    </row>
    <row r="184" spans="3:46" ht="15.75" customHeight="1" x14ac:dyDescent="0.35">
      <c r="C184" s="99">
        <v>49888</v>
      </c>
      <c r="AQ184" s="12">
        <v>6683.33</v>
      </c>
      <c r="AR184" s="12">
        <f t="shared" si="36"/>
        <v>6683.33</v>
      </c>
    </row>
    <row r="185" spans="3:46" ht="15.75" customHeight="1" x14ac:dyDescent="0.35">
      <c r="C185" s="99">
        <v>49919</v>
      </c>
      <c r="AQ185" s="12">
        <v>6683.33</v>
      </c>
      <c r="AR185" s="12">
        <f t="shared" si="36"/>
        <v>6683.33</v>
      </c>
    </row>
    <row r="186" spans="3:46" ht="15.75" customHeight="1" x14ac:dyDescent="0.35">
      <c r="C186" s="99">
        <v>49949</v>
      </c>
      <c r="AQ186" s="12">
        <v>6683.33</v>
      </c>
      <c r="AR186" s="12">
        <f t="shared" si="36"/>
        <v>6683.33</v>
      </c>
    </row>
    <row r="187" spans="3:46" ht="15.75" customHeight="1" x14ac:dyDescent="0.35">
      <c r="C187" s="99">
        <v>49980</v>
      </c>
      <c r="AQ187" s="12">
        <v>6683.33</v>
      </c>
      <c r="AR187" s="12">
        <f t="shared" si="36"/>
        <v>6683.33</v>
      </c>
    </row>
    <row r="188" spans="3:46" ht="15.75" customHeight="1" x14ac:dyDescent="0.35">
      <c r="C188" s="99">
        <v>50010</v>
      </c>
      <c r="AQ188" s="12">
        <v>6683.33</v>
      </c>
      <c r="AR188" s="12">
        <f t="shared" si="36"/>
        <v>6683.33</v>
      </c>
    </row>
    <row r="189" spans="3:46" ht="15.75" customHeight="1" x14ac:dyDescent="0.35">
      <c r="C189" s="99">
        <v>50041</v>
      </c>
      <c r="AQ189" s="12">
        <v>6683.33</v>
      </c>
      <c r="AR189" s="12">
        <f t="shared" si="36"/>
        <v>6683.33</v>
      </c>
    </row>
    <row r="190" spans="3:46" ht="15.75" customHeight="1" x14ac:dyDescent="0.35">
      <c r="C190" s="99">
        <v>50072</v>
      </c>
      <c r="AQ190" s="12">
        <v>6683.33</v>
      </c>
      <c r="AR190" s="12">
        <f t="shared" si="36"/>
        <v>6683.33</v>
      </c>
    </row>
    <row r="191" spans="3:46" ht="15.75" customHeight="1" x14ac:dyDescent="0.35">
      <c r="C191" s="99">
        <v>50100</v>
      </c>
      <c r="AQ191" s="12">
        <v>6683.33</v>
      </c>
      <c r="AR191" s="12">
        <f t="shared" si="36"/>
        <v>6683.33</v>
      </c>
    </row>
    <row r="192" spans="3:46" ht="15.75" customHeight="1" x14ac:dyDescent="0.35">
      <c r="C192" s="99">
        <v>50131</v>
      </c>
      <c r="AQ192" s="12">
        <v>6683.33</v>
      </c>
      <c r="AR192" s="12">
        <f t="shared" si="36"/>
        <v>6683.33</v>
      </c>
    </row>
    <row r="193" spans="3:44" ht="15.75" customHeight="1" x14ac:dyDescent="0.35">
      <c r="C193" s="99">
        <v>50161</v>
      </c>
      <c r="AQ193" s="12">
        <v>6683.33</v>
      </c>
      <c r="AR193" s="12">
        <f t="shared" si="36"/>
        <v>6683.33</v>
      </c>
    </row>
    <row r="194" spans="3:44" ht="15.75" customHeight="1" x14ac:dyDescent="0.35">
      <c r="C194" s="99">
        <v>50192</v>
      </c>
      <c r="AQ194" s="12">
        <v>6683.33</v>
      </c>
      <c r="AR194" s="12">
        <f t="shared" si="36"/>
        <v>6683.33</v>
      </c>
    </row>
    <row r="195" spans="3:44" ht="15.75" customHeight="1" x14ac:dyDescent="0.35">
      <c r="C195" s="99">
        <v>50222</v>
      </c>
      <c r="AQ195" s="12">
        <v>6683.33</v>
      </c>
      <c r="AR195" s="12">
        <f t="shared" si="36"/>
        <v>6683.33</v>
      </c>
    </row>
    <row r="196" spans="3:44" ht="15.75" customHeight="1" x14ac:dyDescent="0.35">
      <c r="C196" s="99">
        <v>50253</v>
      </c>
      <c r="AQ196" s="12">
        <v>6683.33</v>
      </c>
      <c r="AR196" s="12">
        <f t="shared" si="36"/>
        <v>6683.33</v>
      </c>
    </row>
    <row r="197" spans="3:44" ht="15.75" customHeight="1" x14ac:dyDescent="0.35">
      <c r="C197" s="99">
        <v>50284</v>
      </c>
      <c r="AQ197" s="12">
        <v>6683.33</v>
      </c>
      <c r="AR197" s="12">
        <f t="shared" si="36"/>
        <v>6683.33</v>
      </c>
    </row>
    <row r="198" spans="3:44" ht="15.75" customHeight="1" x14ac:dyDescent="0.35">
      <c r="C198" s="99">
        <v>50314</v>
      </c>
      <c r="AQ198" s="12">
        <v>6683.33</v>
      </c>
      <c r="AR198" s="12">
        <f t="shared" si="36"/>
        <v>6683.33</v>
      </c>
    </row>
    <row r="199" spans="3:44" ht="15.75" customHeight="1" x14ac:dyDescent="0.35">
      <c r="C199" s="99">
        <v>50345</v>
      </c>
      <c r="AQ199" s="12">
        <v>6683.33</v>
      </c>
      <c r="AR199" s="12">
        <f t="shared" si="36"/>
        <v>6683.33</v>
      </c>
    </row>
    <row r="200" spans="3:44" ht="15.75" customHeight="1" x14ac:dyDescent="0.35">
      <c r="C200" s="99">
        <v>50375</v>
      </c>
      <c r="AQ200" s="12">
        <v>6683.33</v>
      </c>
      <c r="AR200" s="12">
        <f t="shared" si="36"/>
        <v>6683.33</v>
      </c>
    </row>
    <row r="201" spans="3:44" ht="15.75" customHeight="1" x14ac:dyDescent="0.35">
      <c r="C201" s="99">
        <v>50406</v>
      </c>
      <c r="AQ201" s="12">
        <v>6683.33</v>
      </c>
      <c r="AR201" s="12">
        <f t="shared" si="36"/>
        <v>6683.33</v>
      </c>
    </row>
    <row r="202" spans="3:44" ht="15.75" customHeight="1" x14ac:dyDescent="0.35">
      <c r="C202" s="99">
        <v>50437</v>
      </c>
      <c r="AQ202" s="12">
        <v>6683.33</v>
      </c>
      <c r="AR202" s="12">
        <f t="shared" si="36"/>
        <v>6683.33</v>
      </c>
    </row>
    <row r="203" spans="3:44" ht="15.75" customHeight="1" x14ac:dyDescent="0.35">
      <c r="C203" s="99">
        <v>50465</v>
      </c>
      <c r="AQ203" s="12">
        <v>6683.33</v>
      </c>
      <c r="AR203" s="12">
        <f t="shared" si="36"/>
        <v>6683.33</v>
      </c>
    </row>
    <row r="204" spans="3:44" ht="15.75" customHeight="1" x14ac:dyDescent="0.35">
      <c r="C204" s="99">
        <v>50496</v>
      </c>
      <c r="AQ204" s="12">
        <v>6683.33</v>
      </c>
      <c r="AR204" s="12">
        <f t="shared" si="36"/>
        <v>6683.33</v>
      </c>
    </row>
    <row r="205" spans="3:44" ht="15.75" customHeight="1" x14ac:dyDescent="0.35">
      <c r="C205" s="99">
        <v>50526</v>
      </c>
      <c r="AQ205" s="12">
        <v>6683.33</v>
      </c>
      <c r="AR205" s="12">
        <f t="shared" si="36"/>
        <v>6683.33</v>
      </c>
    </row>
    <row r="206" spans="3:44" ht="15.75" customHeight="1" x14ac:dyDescent="0.35">
      <c r="C206" s="99">
        <v>50557</v>
      </c>
      <c r="AQ206" s="12">
        <v>6683.33</v>
      </c>
      <c r="AR206" s="12">
        <f t="shared" si="36"/>
        <v>6683.33</v>
      </c>
    </row>
    <row r="207" spans="3:44" ht="15.75" customHeight="1" x14ac:dyDescent="0.35">
      <c r="C207" s="99">
        <v>50587</v>
      </c>
      <c r="AQ207" s="12">
        <v>6683.33</v>
      </c>
      <c r="AR207" s="12">
        <f t="shared" si="36"/>
        <v>6683.33</v>
      </c>
    </row>
    <row r="208" spans="3:44" ht="15.75" customHeight="1" x14ac:dyDescent="0.35">
      <c r="C208" s="99">
        <v>50618</v>
      </c>
      <c r="AQ208" s="12">
        <v>6683.33</v>
      </c>
      <c r="AR208" s="12">
        <f t="shared" si="36"/>
        <v>6683.33</v>
      </c>
    </row>
    <row r="209" spans="3:44" ht="15.75" customHeight="1" x14ac:dyDescent="0.35">
      <c r="C209" s="99">
        <v>50649</v>
      </c>
      <c r="AQ209" s="12">
        <v>6683.33</v>
      </c>
      <c r="AR209" s="12">
        <f t="shared" si="36"/>
        <v>6683.33</v>
      </c>
    </row>
    <row r="210" spans="3:44" ht="15.75" customHeight="1" x14ac:dyDescent="0.35">
      <c r="C210" s="99">
        <v>50679</v>
      </c>
      <c r="AQ210" s="12">
        <v>6683.33</v>
      </c>
      <c r="AR210" s="12">
        <f t="shared" si="36"/>
        <v>6683.33</v>
      </c>
    </row>
    <row r="211" spans="3:44" ht="15.75" customHeight="1" x14ac:dyDescent="0.35">
      <c r="C211" s="99">
        <v>50710</v>
      </c>
      <c r="AQ211" s="12">
        <v>6683.33</v>
      </c>
      <c r="AR211" s="12">
        <f t="shared" si="36"/>
        <v>6683.33</v>
      </c>
    </row>
    <row r="212" spans="3:44" ht="15.75" customHeight="1" x14ac:dyDescent="0.35">
      <c r="C212" s="99">
        <v>50740</v>
      </c>
      <c r="AQ212" s="12">
        <v>6683.33</v>
      </c>
      <c r="AR212" s="12">
        <f t="shared" si="36"/>
        <v>6683.33</v>
      </c>
    </row>
    <row r="213" spans="3:44" ht="15.75" customHeight="1" x14ac:dyDescent="0.35">
      <c r="C213" s="99">
        <v>50771</v>
      </c>
      <c r="AQ213" s="12">
        <v>6683.33</v>
      </c>
      <c r="AR213" s="12">
        <f t="shared" si="36"/>
        <v>6683.33</v>
      </c>
    </row>
    <row r="214" spans="3:44" ht="15.75" customHeight="1" x14ac:dyDescent="0.35">
      <c r="C214" s="99">
        <v>50802</v>
      </c>
      <c r="AQ214" s="12">
        <v>6683.33</v>
      </c>
      <c r="AR214" s="12">
        <f t="shared" si="36"/>
        <v>6683.33</v>
      </c>
    </row>
    <row r="215" spans="3:44" ht="15.75" customHeight="1" x14ac:dyDescent="0.35">
      <c r="C215" s="99">
        <v>50830</v>
      </c>
      <c r="AQ215" s="12">
        <v>6683.33</v>
      </c>
      <c r="AR215" s="12">
        <f t="shared" si="36"/>
        <v>6683.33</v>
      </c>
    </row>
    <row r="216" spans="3:44" ht="15.75" customHeight="1" x14ac:dyDescent="0.35">
      <c r="C216" s="99">
        <v>50861</v>
      </c>
      <c r="AQ216" s="12">
        <v>6683.33</v>
      </c>
      <c r="AR216" s="12">
        <f t="shared" si="36"/>
        <v>6683.33</v>
      </c>
    </row>
    <row r="217" spans="3:44" ht="15.75" customHeight="1" x14ac:dyDescent="0.35">
      <c r="C217" s="99">
        <v>50891</v>
      </c>
      <c r="AQ217" s="12">
        <v>6683.33</v>
      </c>
      <c r="AR217" s="12">
        <f t="shared" si="36"/>
        <v>6683.33</v>
      </c>
    </row>
    <row r="218" spans="3:44" ht="15.75" customHeight="1" x14ac:dyDescent="0.35">
      <c r="C218" s="99">
        <v>50922</v>
      </c>
      <c r="AQ218" s="12">
        <v>6683.33</v>
      </c>
      <c r="AR218" s="12">
        <f t="shared" si="36"/>
        <v>6683.33</v>
      </c>
    </row>
    <row r="219" spans="3:44" ht="15.75" customHeight="1" x14ac:dyDescent="0.35">
      <c r="C219" s="99">
        <v>50952</v>
      </c>
      <c r="AQ219" s="12">
        <v>6683.33</v>
      </c>
      <c r="AR219" s="12">
        <f t="shared" si="36"/>
        <v>6683.33</v>
      </c>
    </row>
    <row r="220" spans="3:44" ht="15.75" customHeight="1" x14ac:dyDescent="0.35">
      <c r="C220" s="99">
        <v>50983</v>
      </c>
      <c r="AQ220" s="12">
        <v>6683.33</v>
      </c>
      <c r="AR220" s="12">
        <f t="shared" si="36"/>
        <v>6683.33</v>
      </c>
    </row>
    <row r="221" spans="3:44" ht="15.75" customHeight="1" x14ac:dyDescent="0.35">
      <c r="C221" s="99">
        <v>51014</v>
      </c>
      <c r="AQ221" s="12">
        <v>6683.33</v>
      </c>
      <c r="AR221" s="12">
        <f t="shared" si="36"/>
        <v>6683.33</v>
      </c>
    </row>
    <row r="222" spans="3:44" ht="15.75" customHeight="1" x14ac:dyDescent="0.35">
      <c r="C222" s="99">
        <v>51044</v>
      </c>
      <c r="AQ222" s="12">
        <v>6683.33</v>
      </c>
      <c r="AR222" s="12">
        <f t="shared" si="36"/>
        <v>6683.33</v>
      </c>
    </row>
    <row r="223" spans="3:44" ht="15.75" customHeight="1" x14ac:dyDescent="0.35">
      <c r="C223" s="99">
        <v>51075</v>
      </c>
      <c r="AQ223" s="12">
        <v>6683.33</v>
      </c>
      <c r="AR223" s="12">
        <f t="shared" si="36"/>
        <v>6683.33</v>
      </c>
    </row>
    <row r="224" spans="3:44" ht="15.75" customHeight="1" x14ac:dyDescent="0.35">
      <c r="C224" s="99">
        <v>51105</v>
      </c>
      <c r="AQ224" s="12">
        <v>6683.33</v>
      </c>
      <c r="AR224" s="12">
        <f t="shared" si="36"/>
        <v>6683.33</v>
      </c>
    </row>
    <row r="225" spans="3:44" ht="15.75" customHeight="1" x14ac:dyDescent="0.35">
      <c r="C225" s="99">
        <v>51136</v>
      </c>
      <c r="AQ225" s="12">
        <v>6683.33</v>
      </c>
      <c r="AR225" s="12">
        <f t="shared" si="36"/>
        <v>6683.33</v>
      </c>
    </row>
    <row r="226" spans="3:44" ht="15.75" customHeight="1" x14ac:dyDescent="0.35">
      <c r="C226" s="99">
        <v>51167</v>
      </c>
      <c r="AQ226" s="12">
        <v>6683.33</v>
      </c>
      <c r="AR226" s="12">
        <f t="shared" si="36"/>
        <v>6683.33</v>
      </c>
    </row>
    <row r="227" spans="3:44" ht="15.75" customHeight="1" x14ac:dyDescent="0.35">
      <c r="C227" s="99">
        <v>51196</v>
      </c>
      <c r="AQ227" s="12">
        <v>6683.33</v>
      </c>
      <c r="AR227" s="12">
        <f t="shared" si="36"/>
        <v>6683.33</v>
      </c>
    </row>
    <row r="228" spans="3:44" ht="15.75" customHeight="1" x14ac:dyDescent="0.35">
      <c r="C228" s="99">
        <v>51227</v>
      </c>
      <c r="AQ228" s="12">
        <v>6683.33</v>
      </c>
      <c r="AR228" s="12">
        <f t="shared" si="36"/>
        <v>6683.33</v>
      </c>
    </row>
    <row r="229" spans="3:44" ht="15.75" customHeight="1" x14ac:dyDescent="0.35">
      <c r="C229" s="99">
        <v>51257</v>
      </c>
      <c r="AQ229" s="12">
        <v>6683.33</v>
      </c>
      <c r="AR229" s="12">
        <f t="shared" si="36"/>
        <v>6683.33</v>
      </c>
    </row>
    <row r="230" spans="3:44" ht="15.75" customHeight="1" x14ac:dyDescent="0.35">
      <c r="C230" s="99">
        <v>51288</v>
      </c>
      <c r="AQ230" s="12">
        <v>6683.33</v>
      </c>
      <c r="AR230" s="12">
        <f t="shared" si="36"/>
        <v>6683.33</v>
      </c>
    </row>
    <row r="231" spans="3:44" ht="15.75" customHeight="1" x14ac:dyDescent="0.35">
      <c r="C231" s="99">
        <v>51318</v>
      </c>
      <c r="AQ231" s="12">
        <v>6683.33</v>
      </c>
      <c r="AR231" s="12">
        <f t="shared" si="36"/>
        <v>6683.33</v>
      </c>
    </row>
    <row r="232" spans="3:44" ht="15.75" customHeight="1" x14ac:dyDescent="0.35">
      <c r="C232" s="99">
        <v>51349</v>
      </c>
      <c r="AQ232" s="12">
        <v>6683.33</v>
      </c>
      <c r="AR232" s="12">
        <f t="shared" si="36"/>
        <v>6683.33</v>
      </c>
    </row>
    <row r="233" spans="3:44" ht="15.75" customHeight="1" x14ac:dyDescent="0.35">
      <c r="C233" s="99">
        <v>51380</v>
      </c>
      <c r="AQ233" s="12">
        <v>6683.33</v>
      </c>
      <c r="AR233" s="12">
        <f t="shared" si="36"/>
        <v>6683.33</v>
      </c>
    </row>
    <row r="234" spans="3:44" ht="15.75" customHeight="1" x14ac:dyDescent="0.35">
      <c r="C234" s="99">
        <v>51410</v>
      </c>
      <c r="AQ234" s="12">
        <v>6683.33</v>
      </c>
      <c r="AR234" s="12">
        <f t="shared" si="36"/>
        <v>6683.33</v>
      </c>
    </row>
    <row r="235" spans="3:44" ht="15.75" customHeight="1" x14ac:dyDescent="0.35">
      <c r="C235" s="99">
        <v>51441</v>
      </c>
      <c r="AQ235" s="12">
        <v>6683.33</v>
      </c>
      <c r="AR235" s="12">
        <f t="shared" si="36"/>
        <v>6683.33</v>
      </c>
    </row>
    <row r="236" spans="3:44" ht="15.75" customHeight="1" x14ac:dyDescent="0.35">
      <c r="C236" s="99">
        <v>51471</v>
      </c>
      <c r="AQ236" s="12">
        <v>6683.33</v>
      </c>
      <c r="AR236" s="12">
        <f t="shared" si="36"/>
        <v>6683.33</v>
      </c>
    </row>
    <row r="237" spans="3:44" ht="15.75" customHeight="1" x14ac:dyDescent="0.35"/>
    <row r="238" spans="3:44" ht="15.75" customHeight="1" x14ac:dyDescent="0.35"/>
    <row r="239" spans="3:44" ht="15.75" customHeight="1" x14ac:dyDescent="0.35"/>
    <row r="240" spans="3:44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511811024" right="0.511811024" top="0.78740157499999996" bottom="0.78740157499999996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H1000"/>
  <sheetViews>
    <sheetView workbookViewId="0"/>
  </sheetViews>
  <sheetFormatPr defaultColWidth="14.453125" defaultRowHeight="15" customHeight="1" x14ac:dyDescent="0.35"/>
  <cols>
    <col min="1" max="1" width="17" customWidth="1"/>
    <col min="2" max="2" width="14.26953125" customWidth="1"/>
    <col min="3" max="3" width="10.7265625" customWidth="1"/>
    <col min="4" max="5" width="12" customWidth="1"/>
    <col min="6" max="6" width="13.81640625" customWidth="1"/>
    <col min="7" max="8" width="8.7265625" customWidth="1"/>
  </cols>
  <sheetData>
    <row r="1" spans="1:6" ht="14.5" x14ac:dyDescent="0.35">
      <c r="A1" s="5" t="s">
        <v>14</v>
      </c>
      <c r="B1" s="1" t="s">
        <v>15</v>
      </c>
    </row>
    <row r="2" spans="1:6" ht="14.5" x14ac:dyDescent="0.35">
      <c r="A2" s="5" t="s">
        <v>17</v>
      </c>
      <c r="B2" s="6">
        <v>325186.38</v>
      </c>
      <c r="D2" s="7"/>
      <c r="E2" s="8"/>
      <c r="F2" s="9"/>
    </row>
    <row r="3" spans="1:6" ht="14.5" x14ac:dyDescent="0.35">
      <c r="A3" s="5" t="s">
        <v>45</v>
      </c>
      <c r="B3" s="6">
        <v>331380.09000000003</v>
      </c>
    </row>
    <row r="4" spans="1:6" ht="14.5" x14ac:dyDescent="0.35">
      <c r="A4" s="5" t="s">
        <v>46</v>
      </c>
      <c r="B4" s="1">
        <v>60</v>
      </c>
    </row>
    <row r="5" spans="1:6" ht="14.5" x14ac:dyDescent="0.35">
      <c r="A5" s="5" t="s">
        <v>48</v>
      </c>
      <c r="B5" s="13">
        <v>1.54E-2</v>
      </c>
    </row>
    <row r="6" spans="1:6" ht="14.5" x14ac:dyDescent="0.35">
      <c r="A6" s="5" t="s">
        <v>52</v>
      </c>
      <c r="B6" s="1">
        <v>2</v>
      </c>
    </row>
    <row r="7" spans="1:6" ht="14.5" x14ac:dyDescent="0.35">
      <c r="A7" s="5" t="s">
        <v>53</v>
      </c>
      <c r="B7" s="6">
        <v>518714.4</v>
      </c>
    </row>
    <row r="9" spans="1:6" ht="14.5" x14ac:dyDescent="0.35">
      <c r="A9" s="3" t="s">
        <v>54</v>
      </c>
      <c r="B9" s="3" t="s">
        <v>55</v>
      </c>
      <c r="C9" s="3" t="s">
        <v>26</v>
      </c>
      <c r="D9" s="3" t="s">
        <v>56</v>
      </c>
      <c r="E9" s="3" t="s">
        <v>57</v>
      </c>
      <c r="F9" s="3" t="s">
        <v>58</v>
      </c>
    </row>
    <row r="10" spans="1:6" ht="14.5" x14ac:dyDescent="0.35">
      <c r="A10" s="10">
        <v>44341</v>
      </c>
      <c r="B10" s="5">
        <v>0</v>
      </c>
      <c r="C10" s="1"/>
      <c r="D10" s="1"/>
      <c r="E10" s="1"/>
      <c r="F10" s="1"/>
    </row>
    <row r="11" spans="1:6" ht="14.5" x14ac:dyDescent="0.35">
      <c r="A11" s="10">
        <v>44371</v>
      </c>
      <c r="B11" s="5">
        <v>1</v>
      </c>
      <c r="C11" s="1"/>
      <c r="D11" s="1"/>
      <c r="E11" s="1"/>
      <c r="F11" s="1"/>
    </row>
    <row r="12" spans="1:6" ht="14.5" x14ac:dyDescent="0.35">
      <c r="A12" s="10">
        <v>44401</v>
      </c>
      <c r="B12" s="5">
        <v>2</v>
      </c>
      <c r="C12" s="1"/>
      <c r="D12" s="1"/>
      <c r="E12" s="1"/>
      <c r="F12" s="17">
        <v>336977.2</v>
      </c>
    </row>
    <row r="13" spans="1:6" ht="14.5" x14ac:dyDescent="0.35">
      <c r="A13" s="10">
        <v>44432</v>
      </c>
      <c r="B13" s="5">
        <v>3</v>
      </c>
      <c r="C13" s="17">
        <f t="shared" ref="C13:C72" si="0">F12*$B$5</f>
        <v>5189.4488799999999</v>
      </c>
      <c r="D13" s="17">
        <f t="shared" ref="D13:D72" si="1">E13-C13</f>
        <v>3455.7914613497851</v>
      </c>
      <c r="E13" s="17">
        <f t="shared" ref="E13:E72" si="2">-PMT($B$5,$B$4,$F$12)</f>
        <v>8645.240341349785</v>
      </c>
      <c r="F13" s="17">
        <f t="shared" ref="F13:F72" si="3">F12-D13</f>
        <v>333521.40853865026</v>
      </c>
    </row>
    <row r="14" spans="1:6" ht="14.5" x14ac:dyDescent="0.35">
      <c r="A14" s="10">
        <v>44463</v>
      </c>
      <c r="B14" s="5">
        <v>4</v>
      </c>
      <c r="C14" s="17">
        <f t="shared" si="0"/>
        <v>5136.229691495214</v>
      </c>
      <c r="D14" s="17">
        <f t="shared" si="1"/>
        <v>3509.0106498545711</v>
      </c>
      <c r="E14" s="17">
        <f t="shared" si="2"/>
        <v>8645.240341349785</v>
      </c>
      <c r="F14" s="17">
        <f t="shared" si="3"/>
        <v>330012.39788879571</v>
      </c>
    </row>
    <row r="15" spans="1:6" ht="14.5" x14ac:dyDescent="0.35">
      <c r="A15" s="10">
        <v>44493</v>
      </c>
      <c r="B15" s="5">
        <v>5</v>
      </c>
      <c r="C15" s="17">
        <f t="shared" si="0"/>
        <v>5082.1909274874542</v>
      </c>
      <c r="D15" s="17">
        <f t="shared" si="1"/>
        <v>3563.0494138623308</v>
      </c>
      <c r="E15" s="17">
        <f t="shared" si="2"/>
        <v>8645.240341349785</v>
      </c>
      <c r="F15" s="17">
        <f t="shared" si="3"/>
        <v>326449.34847493336</v>
      </c>
    </row>
    <row r="16" spans="1:6" ht="14.5" x14ac:dyDescent="0.35">
      <c r="A16" s="10">
        <v>44524</v>
      </c>
      <c r="B16" s="5">
        <v>6</v>
      </c>
      <c r="C16" s="17">
        <f t="shared" si="0"/>
        <v>5027.3199665139737</v>
      </c>
      <c r="D16" s="17">
        <f t="shared" si="1"/>
        <v>3617.9203748358113</v>
      </c>
      <c r="E16" s="17">
        <f t="shared" si="2"/>
        <v>8645.240341349785</v>
      </c>
      <c r="F16" s="17">
        <f t="shared" si="3"/>
        <v>322831.42810009758</v>
      </c>
    </row>
    <row r="17" spans="1:6" ht="14.5" x14ac:dyDescent="0.35">
      <c r="A17" s="10">
        <v>44554</v>
      </c>
      <c r="B17" s="5">
        <v>7</v>
      </c>
      <c r="C17" s="17">
        <f t="shared" si="0"/>
        <v>4971.6039927415031</v>
      </c>
      <c r="D17" s="17">
        <f t="shared" si="1"/>
        <v>3673.6363486082819</v>
      </c>
      <c r="E17" s="17">
        <f t="shared" si="2"/>
        <v>8645.240341349785</v>
      </c>
      <c r="F17" s="17">
        <f t="shared" si="3"/>
        <v>319157.79175148928</v>
      </c>
    </row>
    <row r="18" spans="1:6" ht="14.5" x14ac:dyDescent="0.35">
      <c r="A18" s="10">
        <v>44585</v>
      </c>
      <c r="B18" s="5">
        <v>8</v>
      </c>
      <c r="C18" s="17">
        <f t="shared" si="0"/>
        <v>4915.0299929729354</v>
      </c>
      <c r="D18" s="17">
        <f t="shared" si="1"/>
        <v>3730.2103483768497</v>
      </c>
      <c r="E18" s="17">
        <f t="shared" si="2"/>
        <v>8645.240341349785</v>
      </c>
      <c r="F18" s="17">
        <f t="shared" si="3"/>
        <v>315427.58140311245</v>
      </c>
    </row>
    <row r="19" spans="1:6" ht="14.5" x14ac:dyDescent="0.35">
      <c r="A19" s="10">
        <v>44616</v>
      </c>
      <c r="B19" s="5">
        <v>9</v>
      </c>
      <c r="C19" s="17">
        <f t="shared" si="0"/>
        <v>4857.5847536079318</v>
      </c>
      <c r="D19" s="17">
        <f t="shared" si="1"/>
        <v>3787.6555877418532</v>
      </c>
      <c r="E19" s="17">
        <f t="shared" si="2"/>
        <v>8645.240341349785</v>
      </c>
      <c r="F19" s="17">
        <f t="shared" si="3"/>
        <v>311639.92581537057</v>
      </c>
    </row>
    <row r="20" spans="1:6" ht="14.5" x14ac:dyDescent="0.35">
      <c r="A20" s="10">
        <v>44644</v>
      </c>
      <c r="B20" s="5">
        <v>10</v>
      </c>
      <c r="C20" s="17">
        <f t="shared" si="0"/>
        <v>4799.2548575567071</v>
      </c>
      <c r="D20" s="17">
        <f t="shared" si="1"/>
        <v>3845.9854837930779</v>
      </c>
      <c r="E20" s="17">
        <f t="shared" si="2"/>
        <v>8645.240341349785</v>
      </c>
      <c r="F20" s="17">
        <f t="shared" si="3"/>
        <v>307793.9403315775</v>
      </c>
    </row>
    <row r="21" spans="1:6" ht="15.75" customHeight="1" x14ac:dyDescent="0.35">
      <c r="A21" s="10">
        <v>44675</v>
      </c>
      <c r="B21" s="5">
        <v>11</v>
      </c>
      <c r="C21" s="17">
        <f t="shared" si="0"/>
        <v>4740.0266811062938</v>
      </c>
      <c r="D21" s="17">
        <f t="shared" si="1"/>
        <v>3905.2136602434912</v>
      </c>
      <c r="E21" s="17">
        <f t="shared" si="2"/>
        <v>8645.240341349785</v>
      </c>
      <c r="F21" s="17">
        <f t="shared" si="3"/>
        <v>303888.72667133401</v>
      </c>
    </row>
    <row r="22" spans="1:6" ht="15.75" customHeight="1" x14ac:dyDescent="0.35">
      <c r="A22" s="10">
        <v>44705</v>
      </c>
      <c r="B22" s="5">
        <v>12</v>
      </c>
      <c r="C22" s="17">
        <f t="shared" si="0"/>
        <v>4679.8863907385439</v>
      </c>
      <c r="D22" s="17">
        <f t="shared" si="1"/>
        <v>3965.3539506112411</v>
      </c>
      <c r="E22" s="17">
        <f t="shared" si="2"/>
        <v>8645.240341349785</v>
      </c>
      <c r="F22" s="17">
        <f t="shared" si="3"/>
        <v>299923.37272072275</v>
      </c>
    </row>
    <row r="23" spans="1:6" ht="15.75" customHeight="1" x14ac:dyDescent="0.35">
      <c r="A23" s="10">
        <v>44736</v>
      </c>
      <c r="B23" s="5">
        <v>13</v>
      </c>
      <c r="C23" s="17">
        <f t="shared" si="0"/>
        <v>4618.8199398991301</v>
      </c>
      <c r="D23" s="17">
        <f t="shared" si="1"/>
        <v>4026.4204014506549</v>
      </c>
      <c r="E23" s="17">
        <f t="shared" si="2"/>
        <v>8645.240341349785</v>
      </c>
      <c r="F23" s="17">
        <f t="shared" si="3"/>
        <v>295896.9523192721</v>
      </c>
    </row>
    <row r="24" spans="1:6" ht="15.75" customHeight="1" x14ac:dyDescent="0.35">
      <c r="A24" s="10">
        <v>44766</v>
      </c>
      <c r="B24" s="5">
        <v>14</v>
      </c>
      <c r="C24" s="17">
        <f t="shared" si="0"/>
        <v>4556.8130657167903</v>
      </c>
      <c r="D24" s="17">
        <f t="shared" si="1"/>
        <v>4088.4272756329947</v>
      </c>
      <c r="E24" s="17">
        <f t="shared" si="2"/>
        <v>8645.240341349785</v>
      </c>
      <c r="F24" s="17">
        <f t="shared" si="3"/>
        <v>291808.52504363912</v>
      </c>
    </row>
    <row r="25" spans="1:6" ht="15.75" customHeight="1" x14ac:dyDescent="0.35">
      <c r="A25" s="10">
        <v>44797</v>
      </c>
      <c r="B25" s="5">
        <v>15</v>
      </c>
      <c r="C25" s="17">
        <f t="shared" si="0"/>
        <v>4493.8512856720426</v>
      </c>
      <c r="D25" s="17">
        <f t="shared" si="1"/>
        <v>4151.3890556777424</v>
      </c>
      <c r="E25" s="17">
        <f t="shared" si="2"/>
        <v>8645.240341349785</v>
      </c>
      <c r="F25" s="17">
        <f t="shared" si="3"/>
        <v>287657.13598796137</v>
      </c>
    </row>
    <row r="26" spans="1:6" ht="15.75" customHeight="1" x14ac:dyDescent="0.35">
      <c r="A26" s="10">
        <v>44828</v>
      </c>
      <c r="B26" s="5">
        <v>16</v>
      </c>
      <c r="C26" s="17">
        <f t="shared" si="0"/>
        <v>4429.9198942146049</v>
      </c>
      <c r="D26" s="17">
        <f t="shared" si="1"/>
        <v>4215.3204471351801</v>
      </c>
      <c r="E26" s="17">
        <f t="shared" si="2"/>
        <v>8645.240341349785</v>
      </c>
      <c r="F26" s="17">
        <f t="shared" si="3"/>
        <v>283441.81554082618</v>
      </c>
    </row>
    <row r="27" spans="1:6" ht="15.75" customHeight="1" x14ac:dyDescent="0.35">
      <c r="A27" s="10">
        <v>44858</v>
      </c>
      <c r="B27" s="5">
        <v>17</v>
      </c>
      <c r="C27" s="17">
        <f t="shared" si="0"/>
        <v>4365.0039593287229</v>
      </c>
      <c r="D27" s="17">
        <f t="shared" si="1"/>
        <v>4280.2363820210621</v>
      </c>
      <c r="E27" s="17">
        <f t="shared" si="2"/>
        <v>8645.240341349785</v>
      </c>
      <c r="F27" s="17">
        <f t="shared" si="3"/>
        <v>279161.57915880514</v>
      </c>
    </row>
    <row r="28" spans="1:6" ht="15.75" customHeight="1" x14ac:dyDescent="0.35">
      <c r="A28" s="10">
        <v>44889</v>
      </c>
      <c r="B28" s="5">
        <v>18</v>
      </c>
      <c r="C28" s="17">
        <f t="shared" si="0"/>
        <v>4299.0883190455988</v>
      </c>
      <c r="D28" s="17">
        <f t="shared" si="1"/>
        <v>4346.1520223041862</v>
      </c>
      <c r="E28" s="17">
        <f t="shared" si="2"/>
        <v>8645.240341349785</v>
      </c>
      <c r="F28" s="17">
        <f t="shared" si="3"/>
        <v>274815.42713650095</v>
      </c>
    </row>
    <row r="29" spans="1:6" ht="15.75" customHeight="1" x14ac:dyDescent="0.35">
      <c r="A29" s="10">
        <v>44919</v>
      </c>
      <c r="B29" s="5">
        <v>19</v>
      </c>
      <c r="C29" s="17">
        <f t="shared" si="0"/>
        <v>4232.157577902115</v>
      </c>
      <c r="D29" s="17">
        <f t="shared" si="1"/>
        <v>4413.08276344767</v>
      </c>
      <c r="E29" s="17">
        <f t="shared" si="2"/>
        <v>8645.240341349785</v>
      </c>
      <c r="F29" s="17">
        <f t="shared" si="3"/>
        <v>270402.34437305329</v>
      </c>
    </row>
    <row r="30" spans="1:6" ht="15.75" customHeight="1" x14ac:dyDescent="0.35">
      <c r="A30" s="10">
        <v>44950</v>
      </c>
      <c r="B30" s="5">
        <v>20</v>
      </c>
      <c r="C30" s="17">
        <f t="shared" si="0"/>
        <v>4164.1961033450207</v>
      </c>
      <c r="D30" s="17">
        <f t="shared" si="1"/>
        <v>4481.0442380047643</v>
      </c>
      <c r="E30" s="17">
        <f t="shared" si="2"/>
        <v>8645.240341349785</v>
      </c>
      <c r="F30" s="17">
        <f t="shared" si="3"/>
        <v>265921.30013504851</v>
      </c>
    </row>
    <row r="31" spans="1:6" ht="15.75" customHeight="1" x14ac:dyDescent="0.35">
      <c r="A31" s="10">
        <v>44981</v>
      </c>
      <c r="B31" s="5">
        <v>21</v>
      </c>
      <c r="C31" s="17">
        <f t="shared" si="0"/>
        <v>4095.188022079747</v>
      </c>
      <c r="D31" s="17">
        <f t="shared" si="1"/>
        <v>4550.0523192700384</v>
      </c>
      <c r="E31" s="17">
        <f t="shared" si="2"/>
        <v>8645.240341349785</v>
      </c>
      <c r="F31" s="17">
        <f t="shared" si="3"/>
        <v>261371.24781577848</v>
      </c>
    </row>
    <row r="32" spans="1:6" ht="15.75" customHeight="1" x14ac:dyDescent="0.35">
      <c r="A32" s="10">
        <v>45009</v>
      </c>
      <c r="B32" s="5">
        <v>22</v>
      </c>
      <c r="C32" s="17">
        <f t="shared" si="0"/>
        <v>4025.1172163629885</v>
      </c>
      <c r="D32" s="17">
        <f t="shared" si="1"/>
        <v>4620.123124986796</v>
      </c>
      <c r="E32" s="17">
        <f t="shared" si="2"/>
        <v>8645.240341349785</v>
      </c>
      <c r="F32" s="17">
        <f t="shared" si="3"/>
        <v>256751.12469079168</v>
      </c>
    </row>
    <row r="33" spans="1:6" ht="15.75" customHeight="1" x14ac:dyDescent="0.35">
      <c r="A33" s="10">
        <v>45040</v>
      </c>
      <c r="B33" s="5">
        <v>23</v>
      </c>
      <c r="C33" s="17">
        <f t="shared" si="0"/>
        <v>3953.9673202381919</v>
      </c>
      <c r="D33" s="17">
        <f t="shared" si="1"/>
        <v>4691.2730211115932</v>
      </c>
      <c r="E33" s="17">
        <f t="shared" si="2"/>
        <v>8645.240341349785</v>
      </c>
      <c r="F33" s="17">
        <f t="shared" si="3"/>
        <v>252059.85166968009</v>
      </c>
    </row>
    <row r="34" spans="1:6" ht="15.75" customHeight="1" x14ac:dyDescent="0.35">
      <c r="A34" s="10">
        <v>45070</v>
      </c>
      <c r="B34" s="5">
        <v>24</v>
      </c>
      <c r="C34" s="17">
        <f t="shared" si="0"/>
        <v>3881.7217157130735</v>
      </c>
      <c r="D34" s="17">
        <f t="shared" si="1"/>
        <v>4763.5186256367115</v>
      </c>
      <c r="E34" s="17">
        <f t="shared" si="2"/>
        <v>8645.240341349785</v>
      </c>
      <c r="F34" s="17">
        <f t="shared" si="3"/>
        <v>247296.33304404339</v>
      </c>
    </row>
    <row r="35" spans="1:6" ht="15.75" customHeight="1" x14ac:dyDescent="0.35">
      <c r="A35" s="10">
        <v>45101</v>
      </c>
      <c r="B35" s="5">
        <v>25</v>
      </c>
      <c r="C35" s="17">
        <f t="shared" si="0"/>
        <v>3808.3635288782684</v>
      </c>
      <c r="D35" s="17">
        <f t="shared" si="1"/>
        <v>4836.876812471517</v>
      </c>
      <c r="E35" s="17">
        <f t="shared" si="2"/>
        <v>8645.240341349785</v>
      </c>
      <c r="F35" s="17">
        <f t="shared" si="3"/>
        <v>242459.45623157188</v>
      </c>
    </row>
    <row r="36" spans="1:6" ht="15.75" customHeight="1" x14ac:dyDescent="0.35">
      <c r="A36" s="10">
        <v>45131</v>
      </c>
      <c r="B36" s="5">
        <v>26</v>
      </c>
      <c r="C36" s="17">
        <f t="shared" si="0"/>
        <v>3733.8756259662073</v>
      </c>
      <c r="D36" s="17">
        <f t="shared" si="1"/>
        <v>4911.3647153835773</v>
      </c>
      <c r="E36" s="17">
        <f t="shared" si="2"/>
        <v>8645.240341349785</v>
      </c>
      <c r="F36" s="17">
        <f t="shared" si="3"/>
        <v>237548.09151618829</v>
      </c>
    </row>
    <row r="37" spans="1:6" ht="15.75" customHeight="1" x14ac:dyDescent="0.35">
      <c r="A37" s="10">
        <v>45162</v>
      </c>
      <c r="B37" s="5">
        <v>27</v>
      </c>
      <c r="C37" s="17">
        <f t="shared" si="0"/>
        <v>3658.2406093492996</v>
      </c>
      <c r="D37" s="17">
        <f t="shared" si="1"/>
        <v>4986.9997320004859</v>
      </c>
      <c r="E37" s="17">
        <f t="shared" si="2"/>
        <v>8645.240341349785</v>
      </c>
      <c r="F37" s="17">
        <f t="shared" si="3"/>
        <v>232561.0917841878</v>
      </c>
    </row>
    <row r="38" spans="1:6" ht="15.75" customHeight="1" x14ac:dyDescent="0.35">
      <c r="A38" s="10">
        <v>45193</v>
      </c>
      <c r="B38" s="5">
        <v>28</v>
      </c>
      <c r="C38" s="17">
        <f t="shared" si="0"/>
        <v>3581.4408134764922</v>
      </c>
      <c r="D38" s="17">
        <f t="shared" si="1"/>
        <v>5063.7995278732924</v>
      </c>
      <c r="E38" s="17">
        <f t="shared" si="2"/>
        <v>8645.240341349785</v>
      </c>
      <c r="F38" s="17">
        <f t="shared" si="3"/>
        <v>227497.29225631451</v>
      </c>
    </row>
    <row r="39" spans="1:6" ht="15.75" customHeight="1" x14ac:dyDescent="0.35">
      <c r="A39" s="10">
        <v>45223</v>
      </c>
      <c r="B39" s="5">
        <v>29</v>
      </c>
      <c r="C39" s="17">
        <f t="shared" si="0"/>
        <v>3503.4583007472438</v>
      </c>
      <c r="D39" s="17">
        <f t="shared" si="1"/>
        <v>5141.7820406025412</v>
      </c>
      <c r="E39" s="17">
        <f t="shared" si="2"/>
        <v>8645.240341349785</v>
      </c>
      <c r="F39" s="17">
        <f t="shared" si="3"/>
        <v>222355.51021571198</v>
      </c>
    </row>
    <row r="40" spans="1:6" ht="15.75" customHeight="1" x14ac:dyDescent="0.35">
      <c r="A40" s="10">
        <v>45254</v>
      </c>
      <c r="B40" s="5">
        <v>30</v>
      </c>
      <c r="C40" s="17">
        <f t="shared" si="0"/>
        <v>3424.2748573219646</v>
      </c>
      <c r="D40" s="17">
        <f t="shared" si="1"/>
        <v>5220.9654840278199</v>
      </c>
      <c r="E40" s="17">
        <f t="shared" si="2"/>
        <v>8645.240341349785</v>
      </c>
      <c r="F40" s="17">
        <f t="shared" si="3"/>
        <v>217134.54473168417</v>
      </c>
    </row>
    <row r="41" spans="1:6" ht="15.75" customHeight="1" x14ac:dyDescent="0.35">
      <c r="A41" s="10">
        <v>45284</v>
      </c>
      <c r="B41" s="5">
        <v>31</v>
      </c>
      <c r="C41" s="17">
        <f t="shared" si="0"/>
        <v>3343.8719888679366</v>
      </c>
      <c r="D41" s="17">
        <f t="shared" si="1"/>
        <v>5301.368352481848</v>
      </c>
      <c r="E41" s="17">
        <f t="shared" si="2"/>
        <v>8645.240341349785</v>
      </c>
      <c r="F41" s="17">
        <f t="shared" si="3"/>
        <v>211833.17637920234</v>
      </c>
    </row>
    <row r="42" spans="1:6" ht="15.75" customHeight="1" x14ac:dyDescent="0.35">
      <c r="A42" s="10">
        <v>45315</v>
      </c>
      <c r="B42" s="5">
        <v>32</v>
      </c>
      <c r="C42" s="17">
        <f t="shared" si="0"/>
        <v>3262.230916239716</v>
      </c>
      <c r="D42" s="17">
        <f t="shared" si="1"/>
        <v>5383.0094251100691</v>
      </c>
      <c r="E42" s="17">
        <f t="shared" si="2"/>
        <v>8645.240341349785</v>
      </c>
      <c r="F42" s="17">
        <f t="shared" si="3"/>
        <v>206450.16695409227</v>
      </c>
    </row>
    <row r="43" spans="1:6" ht="15.75" customHeight="1" x14ac:dyDescent="0.35">
      <c r="A43" s="10">
        <v>45346</v>
      </c>
      <c r="B43" s="5">
        <v>33</v>
      </c>
      <c r="C43" s="17">
        <f t="shared" si="0"/>
        <v>3179.3325710930212</v>
      </c>
      <c r="D43" s="17">
        <f t="shared" si="1"/>
        <v>5465.9077702567638</v>
      </c>
      <c r="E43" s="17">
        <f t="shared" si="2"/>
        <v>8645.240341349785</v>
      </c>
      <c r="F43" s="17">
        <f t="shared" si="3"/>
        <v>200984.2591838355</v>
      </c>
    </row>
    <row r="44" spans="1:6" ht="15.75" customHeight="1" x14ac:dyDescent="0.35">
      <c r="A44" s="10">
        <v>45375</v>
      </c>
      <c r="B44" s="5">
        <v>34</v>
      </c>
      <c r="C44" s="17">
        <f t="shared" si="0"/>
        <v>3095.157591431067</v>
      </c>
      <c r="D44" s="17">
        <f t="shared" si="1"/>
        <v>5550.082749918718</v>
      </c>
      <c r="E44" s="17">
        <f t="shared" si="2"/>
        <v>8645.240341349785</v>
      </c>
      <c r="F44" s="17">
        <f t="shared" si="3"/>
        <v>195434.17643391679</v>
      </c>
    </row>
    <row r="45" spans="1:6" ht="15.75" customHeight="1" x14ac:dyDescent="0.35">
      <c r="A45" s="10">
        <v>45406</v>
      </c>
      <c r="B45" s="5">
        <v>35</v>
      </c>
      <c r="C45" s="17">
        <f t="shared" si="0"/>
        <v>3009.6863170823185</v>
      </c>
      <c r="D45" s="17">
        <f t="shared" si="1"/>
        <v>5635.554024267467</v>
      </c>
      <c r="E45" s="17">
        <f t="shared" si="2"/>
        <v>8645.240341349785</v>
      </c>
      <c r="F45" s="17">
        <f t="shared" si="3"/>
        <v>189798.62240964931</v>
      </c>
    </row>
    <row r="46" spans="1:6" ht="15.75" customHeight="1" x14ac:dyDescent="0.35">
      <c r="A46" s="10">
        <v>45436</v>
      </c>
      <c r="B46" s="5">
        <v>36</v>
      </c>
      <c r="C46" s="17">
        <f t="shared" si="0"/>
        <v>2922.8987851085994</v>
      </c>
      <c r="D46" s="17">
        <f t="shared" si="1"/>
        <v>5722.3415562411856</v>
      </c>
      <c r="E46" s="17">
        <f t="shared" si="2"/>
        <v>8645.240341349785</v>
      </c>
      <c r="F46" s="17">
        <f t="shared" si="3"/>
        <v>184076.28085340813</v>
      </c>
    </row>
    <row r="47" spans="1:6" ht="15.75" customHeight="1" x14ac:dyDescent="0.35">
      <c r="A47" s="10">
        <v>45467</v>
      </c>
      <c r="B47" s="5">
        <v>37</v>
      </c>
      <c r="C47" s="17">
        <f t="shared" si="0"/>
        <v>2834.7747251424853</v>
      </c>
      <c r="D47" s="17">
        <f t="shared" si="1"/>
        <v>5810.4656162072997</v>
      </c>
      <c r="E47" s="17">
        <f t="shared" si="2"/>
        <v>8645.240341349785</v>
      </c>
      <c r="F47" s="17">
        <f t="shared" si="3"/>
        <v>178265.81523720082</v>
      </c>
    </row>
    <row r="48" spans="1:6" ht="15.75" customHeight="1" x14ac:dyDescent="0.35">
      <c r="A48" s="10">
        <v>45497</v>
      </c>
      <c r="B48" s="5">
        <v>38</v>
      </c>
      <c r="C48" s="17">
        <f t="shared" si="0"/>
        <v>2745.2935546528929</v>
      </c>
      <c r="D48" s="17">
        <f t="shared" si="1"/>
        <v>5899.9467866968916</v>
      </c>
      <c r="E48" s="17">
        <f t="shared" si="2"/>
        <v>8645.240341349785</v>
      </c>
      <c r="F48" s="17">
        <f t="shared" si="3"/>
        <v>172365.86845050391</v>
      </c>
    </row>
    <row r="49" spans="1:8" ht="15.75" customHeight="1" x14ac:dyDescent="0.35">
      <c r="A49" s="10">
        <v>45528</v>
      </c>
      <c r="B49" s="5">
        <v>39</v>
      </c>
      <c r="C49" s="17">
        <f t="shared" si="0"/>
        <v>2654.4343741377602</v>
      </c>
      <c r="D49" s="17">
        <f t="shared" si="1"/>
        <v>5990.8059672120253</v>
      </c>
      <c r="E49" s="17">
        <f t="shared" si="2"/>
        <v>8645.240341349785</v>
      </c>
      <c r="F49" s="17">
        <f t="shared" si="3"/>
        <v>166375.0624832919</v>
      </c>
    </row>
    <row r="50" spans="1:8" ht="15.75" customHeight="1" x14ac:dyDescent="0.35">
      <c r="A50" s="10">
        <v>45559</v>
      </c>
      <c r="B50" s="5">
        <v>40</v>
      </c>
      <c r="C50" s="17">
        <f t="shared" si="0"/>
        <v>2562.1759622426953</v>
      </c>
      <c r="D50" s="17">
        <f t="shared" si="1"/>
        <v>6083.0643791070897</v>
      </c>
      <c r="E50" s="17">
        <f t="shared" si="2"/>
        <v>8645.240341349785</v>
      </c>
      <c r="F50" s="17">
        <f t="shared" si="3"/>
        <v>160291.99810418481</v>
      </c>
    </row>
    <row r="51" spans="1:8" ht="15.75" customHeight="1" x14ac:dyDescent="0.35">
      <c r="A51" s="10">
        <v>45589</v>
      </c>
      <c r="B51" s="5">
        <v>41</v>
      </c>
      <c r="C51" s="17">
        <f t="shared" si="0"/>
        <v>2468.496770804446</v>
      </c>
      <c r="D51" s="17">
        <f t="shared" si="1"/>
        <v>6176.743570545339</v>
      </c>
      <c r="E51" s="17">
        <f t="shared" si="2"/>
        <v>8645.240341349785</v>
      </c>
      <c r="F51" s="17">
        <f t="shared" si="3"/>
        <v>154115.25453363947</v>
      </c>
    </row>
    <row r="52" spans="1:8" ht="15.75" customHeight="1" x14ac:dyDescent="0.35">
      <c r="A52" s="10">
        <v>45620</v>
      </c>
      <c r="B52" s="5">
        <v>42</v>
      </c>
      <c r="C52" s="17">
        <f t="shared" si="0"/>
        <v>2373.3749198180481</v>
      </c>
      <c r="D52" s="17">
        <f t="shared" si="1"/>
        <v>6271.8654215317365</v>
      </c>
      <c r="E52" s="17">
        <f t="shared" si="2"/>
        <v>8645.240341349785</v>
      </c>
      <c r="F52" s="17">
        <f t="shared" si="3"/>
        <v>147843.38911210775</v>
      </c>
      <c r="H52" s="18"/>
    </row>
    <row r="53" spans="1:8" ht="15.75" customHeight="1" x14ac:dyDescent="0.35">
      <c r="A53" s="10">
        <v>45650</v>
      </c>
      <c r="B53" s="5">
        <v>43</v>
      </c>
      <c r="C53" s="17">
        <f t="shared" si="0"/>
        <v>2276.7881923264595</v>
      </c>
      <c r="D53" s="17">
        <f t="shared" si="1"/>
        <v>6368.4521490233255</v>
      </c>
      <c r="E53" s="17">
        <f t="shared" si="2"/>
        <v>8645.240341349785</v>
      </c>
      <c r="F53" s="17">
        <f t="shared" si="3"/>
        <v>141474.93696308442</v>
      </c>
    </row>
    <row r="54" spans="1:8" ht="15.75" customHeight="1" x14ac:dyDescent="0.35">
      <c r="A54" s="10">
        <v>45681</v>
      </c>
      <c r="B54" s="5">
        <v>44</v>
      </c>
      <c r="C54" s="17">
        <f t="shared" si="0"/>
        <v>2178.7140292315003</v>
      </c>
      <c r="D54" s="17">
        <f t="shared" si="1"/>
        <v>6466.5263121182852</v>
      </c>
      <c r="E54" s="17">
        <f t="shared" si="2"/>
        <v>8645.240341349785</v>
      </c>
      <c r="F54" s="17">
        <f t="shared" si="3"/>
        <v>135008.41065096614</v>
      </c>
    </row>
    <row r="55" spans="1:8" ht="15.75" customHeight="1" x14ac:dyDescent="0.35">
      <c r="A55" s="10">
        <v>45712</v>
      </c>
      <c r="B55" s="5">
        <v>45</v>
      </c>
      <c r="C55" s="17">
        <f t="shared" si="0"/>
        <v>2079.1295240248787</v>
      </c>
      <c r="D55" s="17">
        <f t="shared" si="1"/>
        <v>6566.1108173249067</v>
      </c>
      <c r="E55" s="17">
        <f t="shared" si="2"/>
        <v>8645.240341349785</v>
      </c>
      <c r="F55" s="17">
        <f t="shared" si="3"/>
        <v>128442.29983364123</v>
      </c>
    </row>
    <row r="56" spans="1:8" ht="15.75" customHeight="1" x14ac:dyDescent="0.35">
      <c r="A56" s="10">
        <v>45740</v>
      </c>
      <c r="B56" s="5">
        <v>46</v>
      </c>
      <c r="C56" s="17">
        <f t="shared" si="0"/>
        <v>1978.0114174380749</v>
      </c>
      <c r="D56" s="17">
        <f t="shared" si="1"/>
        <v>6667.2289239117099</v>
      </c>
      <c r="E56" s="17">
        <f t="shared" si="2"/>
        <v>8645.240341349785</v>
      </c>
      <c r="F56" s="17">
        <f t="shared" si="3"/>
        <v>121775.07090972952</v>
      </c>
    </row>
    <row r="57" spans="1:8" ht="15.75" customHeight="1" x14ac:dyDescent="0.35">
      <c r="A57" s="10">
        <v>45771</v>
      </c>
      <c r="B57" s="5">
        <v>47</v>
      </c>
      <c r="C57" s="17">
        <f t="shared" si="0"/>
        <v>1875.3360920098346</v>
      </c>
      <c r="D57" s="17">
        <f t="shared" si="1"/>
        <v>6769.9042493399502</v>
      </c>
      <c r="E57" s="17">
        <f t="shared" si="2"/>
        <v>8645.240341349785</v>
      </c>
      <c r="F57" s="17">
        <f t="shared" si="3"/>
        <v>115005.16666038957</v>
      </c>
    </row>
    <row r="58" spans="1:8" ht="15.75" customHeight="1" x14ac:dyDescent="0.35">
      <c r="A58" s="10">
        <v>45801</v>
      </c>
      <c r="B58" s="5">
        <v>48</v>
      </c>
      <c r="C58" s="17">
        <f t="shared" si="0"/>
        <v>1771.0795665699995</v>
      </c>
      <c r="D58" s="17">
        <f t="shared" si="1"/>
        <v>6874.1607747797852</v>
      </c>
      <c r="E58" s="17">
        <f t="shared" si="2"/>
        <v>8645.240341349785</v>
      </c>
      <c r="F58" s="17">
        <f t="shared" si="3"/>
        <v>108131.00588560979</v>
      </c>
    </row>
    <row r="59" spans="1:8" ht="15.75" customHeight="1" x14ac:dyDescent="0.35">
      <c r="A59" s="10">
        <v>45832</v>
      </c>
      <c r="B59" s="5">
        <v>49</v>
      </c>
      <c r="C59" s="17">
        <f t="shared" si="0"/>
        <v>1665.2174906383907</v>
      </c>
      <c r="D59" s="17">
        <f t="shared" si="1"/>
        <v>6980.0228507113943</v>
      </c>
      <c r="E59" s="17">
        <f t="shared" si="2"/>
        <v>8645.240341349785</v>
      </c>
      <c r="F59" s="17">
        <f t="shared" si="3"/>
        <v>101150.9830348984</v>
      </c>
    </row>
    <row r="60" spans="1:8" ht="15.75" customHeight="1" x14ac:dyDescent="0.35">
      <c r="A60" s="10">
        <v>45862</v>
      </c>
      <c r="B60" s="5">
        <v>50</v>
      </c>
      <c r="C60" s="17">
        <f t="shared" si="0"/>
        <v>1557.7251387374354</v>
      </c>
      <c r="D60" s="17">
        <f t="shared" si="1"/>
        <v>7087.5152026123496</v>
      </c>
      <c r="E60" s="17">
        <f t="shared" si="2"/>
        <v>8645.240341349785</v>
      </c>
      <c r="F60" s="17">
        <f t="shared" si="3"/>
        <v>94063.467832286042</v>
      </c>
    </row>
    <row r="61" spans="1:8" ht="15.75" customHeight="1" x14ac:dyDescent="0.35">
      <c r="A61" s="10">
        <v>45893</v>
      </c>
      <c r="B61" s="5">
        <v>51</v>
      </c>
      <c r="C61" s="17">
        <f t="shared" si="0"/>
        <v>1448.577404617205</v>
      </c>
      <c r="D61" s="17">
        <f t="shared" si="1"/>
        <v>7196.6629367325804</v>
      </c>
      <c r="E61" s="17">
        <f t="shared" si="2"/>
        <v>8645.240341349785</v>
      </c>
      <c r="F61" s="17">
        <f t="shared" si="3"/>
        <v>86866.804895553461</v>
      </c>
    </row>
    <row r="62" spans="1:8" ht="15.75" customHeight="1" x14ac:dyDescent="0.35">
      <c r="A62" s="10">
        <v>45924</v>
      </c>
      <c r="B62" s="5">
        <v>52</v>
      </c>
      <c r="C62" s="17">
        <f t="shared" si="0"/>
        <v>1337.7487953915233</v>
      </c>
      <c r="D62" s="17">
        <f t="shared" si="1"/>
        <v>7307.4915459582617</v>
      </c>
      <c r="E62" s="17">
        <f t="shared" si="2"/>
        <v>8645.240341349785</v>
      </c>
      <c r="F62" s="17">
        <f t="shared" si="3"/>
        <v>79559.313349595206</v>
      </c>
    </row>
    <row r="63" spans="1:8" ht="15.75" customHeight="1" x14ac:dyDescent="0.35">
      <c r="A63" s="10">
        <v>45954</v>
      </c>
      <c r="B63" s="5">
        <v>53</v>
      </c>
      <c r="C63" s="17">
        <f t="shared" si="0"/>
        <v>1225.2134255837661</v>
      </c>
      <c r="D63" s="17">
        <f t="shared" si="1"/>
        <v>7420.0269157660186</v>
      </c>
      <c r="E63" s="17">
        <f t="shared" si="2"/>
        <v>8645.240341349785</v>
      </c>
      <c r="F63" s="17">
        <f t="shared" si="3"/>
        <v>72139.286433829184</v>
      </c>
    </row>
    <row r="64" spans="1:8" ht="15.75" customHeight="1" x14ac:dyDescent="0.35">
      <c r="A64" s="10">
        <v>45985</v>
      </c>
      <c r="B64" s="5">
        <v>54</v>
      </c>
      <c r="C64" s="17">
        <f t="shared" si="0"/>
        <v>1110.9450110809694</v>
      </c>
      <c r="D64" s="17">
        <f t="shared" si="1"/>
        <v>7534.2953302688156</v>
      </c>
      <c r="E64" s="17">
        <f t="shared" si="2"/>
        <v>8645.240341349785</v>
      </c>
      <c r="F64" s="17">
        <f t="shared" si="3"/>
        <v>64604.991103560365</v>
      </c>
    </row>
    <row r="65" spans="1:6" ht="15.75" customHeight="1" x14ac:dyDescent="0.35">
      <c r="A65" s="10">
        <v>46015</v>
      </c>
      <c r="B65" s="5">
        <v>55</v>
      </c>
      <c r="C65" s="17">
        <f t="shared" si="0"/>
        <v>994.91686299482967</v>
      </c>
      <c r="D65" s="17">
        <f t="shared" si="1"/>
        <v>7650.3234783549551</v>
      </c>
      <c r="E65" s="17">
        <f t="shared" si="2"/>
        <v>8645.240341349785</v>
      </c>
      <c r="F65" s="17">
        <f t="shared" si="3"/>
        <v>56954.667625205409</v>
      </c>
    </row>
    <row r="66" spans="1:6" ht="15.75" customHeight="1" x14ac:dyDescent="0.35">
      <c r="A66" s="10">
        <v>46046</v>
      </c>
      <c r="B66" s="5">
        <v>56</v>
      </c>
      <c r="C66" s="17">
        <f t="shared" si="0"/>
        <v>877.10188142816332</v>
      </c>
      <c r="D66" s="17">
        <f t="shared" si="1"/>
        <v>7768.1384599216217</v>
      </c>
      <c r="E66" s="17">
        <f t="shared" si="2"/>
        <v>8645.240341349785</v>
      </c>
      <c r="F66" s="17">
        <f t="shared" si="3"/>
        <v>49186.529165283791</v>
      </c>
    </row>
    <row r="67" spans="1:6" ht="15.75" customHeight="1" x14ac:dyDescent="0.35">
      <c r="A67" s="10">
        <v>46077</v>
      </c>
      <c r="B67" s="5">
        <v>57</v>
      </c>
      <c r="C67" s="17">
        <f t="shared" si="0"/>
        <v>757.47254914537041</v>
      </c>
      <c r="D67" s="17">
        <f t="shared" si="1"/>
        <v>7887.7677922044149</v>
      </c>
      <c r="E67" s="17">
        <f t="shared" si="2"/>
        <v>8645.240341349785</v>
      </c>
      <c r="F67" s="17">
        <f t="shared" si="3"/>
        <v>41298.761373079375</v>
      </c>
    </row>
    <row r="68" spans="1:6" ht="15.75" customHeight="1" x14ac:dyDescent="0.35">
      <c r="A68" s="10">
        <v>46105</v>
      </c>
      <c r="B68" s="5">
        <v>58</v>
      </c>
      <c r="C68" s="17">
        <f t="shared" si="0"/>
        <v>636.00092514542234</v>
      </c>
      <c r="D68" s="17">
        <f t="shared" si="1"/>
        <v>8009.2394162043629</v>
      </c>
      <c r="E68" s="17">
        <f t="shared" si="2"/>
        <v>8645.240341349785</v>
      </c>
      <c r="F68" s="17">
        <f t="shared" si="3"/>
        <v>33289.521956875011</v>
      </c>
    </row>
    <row r="69" spans="1:6" ht="15.75" customHeight="1" x14ac:dyDescent="0.35">
      <c r="A69" s="10">
        <v>46136</v>
      </c>
      <c r="B69" s="5">
        <v>59</v>
      </c>
      <c r="C69" s="17">
        <f t="shared" si="0"/>
        <v>512.65863813587521</v>
      </c>
      <c r="D69" s="17">
        <f t="shared" si="1"/>
        <v>8132.5817032139093</v>
      </c>
      <c r="E69" s="17">
        <f t="shared" si="2"/>
        <v>8645.240341349785</v>
      </c>
      <c r="F69" s="17">
        <f t="shared" si="3"/>
        <v>25156.940253661101</v>
      </c>
    </row>
    <row r="70" spans="1:6" ht="15.75" customHeight="1" x14ac:dyDescent="0.35">
      <c r="A70" s="10">
        <v>46166</v>
      </c>
      <c r="B70" s="5">
        <v>60</v>
      </c>
      <c r="C70" s="17">
        <f t="shared" si="0"/>
        <v>387.41687990638098</v>
      </c>
      <c r="D70" s="17">
        <f t="shared" si="1"/>
        <v>8257.8234614434041</v>
      </c>
      <c r="E70" s="17">
        <f t="shared" si="2"/>
        <v>8645.240341349785</v>
      </c>
      <c r="F70" s="17">
        <f t="shared" si="3"/>
        <v>16899.116792217697</v>
      </c>
    </row>
    <row r="71" spans="1:6" ht="15.75" customHeight="1" x14ac:dyDescent="0.35">
      <c r="A71" s="10">
        <v>46197</v>
      </c>
      <c r="B71" s="5">
        <v>61</v>
      </c>
      <c r="C71" s="17">
        <f t="shared" si="0"/>
        <v>260.24639860015253</v>
      </c>
      <c r="D71" s="17">
        <f t="shared" si="1"/>
        <v>8384.993942749632</v>
      </c>
      <c r="E71" s="17">
        <f t="shared" si="2"/>
        <v>8645.240341349785</v>
      </c>
      <c r="F71" s="17">
        <f t="shared" si="3"/>
        <v>8514.1228494680654</v>
      </c>
    </row>
    <row r="72" spans="1:6" ht="15.75" customHeight="1" x14ac:dyDescent="0.35">
      <c r="A72" s="10">
        <v>46227</v>
      </c>
      <c r="B72" s="5">
        <v>62</v>
      </c>
      <c r="C72" s="17">
        <f t="shared" si="0"/>
        <v>131.11749188180821</v>
      </c>
      <c r="D72" s="17">
        <f t="shared" si="1"/>
        <v>8514.1228494679763</v>
      </c>
      <c r="E72" s="17">
        <f t="shared" si="2"/>
        <v>8645.240341349785</v>
      </c>
      <c r="F72" s="17">
        <f t="shared" si="3"/>
        <v>8.9130480773746967E-11</v>
      </c>
    </row>
    <row r="73" spans="1:6" ht="15.75" customHeight="1" x14ac:dyDescent="0.35">
      <c r="D73" s="24"/>
    </row>
    <row r="74" spans="1:6" ht="15.75" customHeight="1" x14ac:dyDescent="0.35"/>
    <row r="75" spans="1:6" ht="15.75" customHeight="1" x14ac:dyDescent="0.35"/>
    <row r="76" spans="1:6" ht="15.75" customHeight="1" x14ac:dyDescent="0.35"/>
    <row r="77" spans="1:6" ht="15.75" customHeight="1" x14ac:dyDescent="0.35"/>
    <row r="78" spans="1:6" ht="15.75" customHeight="1" x14ac:dyDescent="0.35"/>
    <row r="79" spans="1:6" ht="15.75" customHeight="1" x14ac:dyDescent="0.35"/>
    <row r="80" spans="1:6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E1000"/>
  <sheetViews>
    <sheetView workbookViewId="0"/>
  </sheetViews>
  <sheetFormatPr defaultColWidth="14.453125" defaultRowHeight="15" customHeight="1" x14ac:dyDescent="0.35"/>
  <cols>
    <col min="1" max="6" width="8.7265625" customWidth="1"/>
  </cols>
  <sheetData>
    <row r="1" spans="1:3" ht="14.5" x14ac:dyDescent="0.35">
      <c r="B1" s="12" t="s">
        <v>47</v>
      </c>
      <c r="C1" s="12" t="s">
        <v>47</v>
      </c>
    </row>
    <row r="2" spans="1:3" ht="14.5" x14ac:dyDescent="0.35">
      <c r="A2" s="12" t="s">
        <v>49</v>
      </c>
      <c r="B2" s="12" t="s">
        <v>50</v>
      </c>
      <c r="C2" s="12" t="s">
        <v>50</v>
      </c>
    </row>
    <row r="3" spans="1:3" ht="14.5" x14ac:dyDescent="0.35">
      <c r="A3" s="12" t="s">
        <v>51</v>
      </c>
      <c r="B3" s="12">
        <v>235</v>
      </c>
      <c r="C3" s="12">
        <v>281</v>
      </c>
    </row>
    <row r="4" spans="1:3" ht="14.5" x14ac:dyDescent="0.35">
      <c r="A4" s="14">
        <v>44969</v>
      </c>
      <c r="B4" s="15">
        <v>217</v>
      </c>
    </row>
    <row r="5" spans="1:3" ht="14.5" x14ac:dyDescent="0.35">
      <c r="A5" s="14">
        <v>44970</v>
      </c>
      <c r="B5" s="15">
        <v>217</v>
      </c>
    </row>
    <row r="6" spans="1:3" ht="14.5" x14ac:dyDescent="0.35">
      <c r="A6" s="14">
        <v>44971</v>
      </c>
      <c r="B6" s="15">
        <v>217</v>
      </c>
    </row>
    <row r="7" spans="1:3" ht="14.5" x14ac:dyDescent="0.35">
      <c r="A7" s="14">
        <v>44972</v>
      </c>
      <c r="B7" s="15">
        <v>217</v>
      </c>
    </row>
    <row r="8" spans="1:3" ht="14.5" x14ac:dyDescent="0.35">
      <c r="A8" s="14">
        <v>44973</v>
      </c>
      <c r="B8" s="15">
        <v>217</v>
      </c>
    </row>
    <row r="9" spans="1:3" ht="14.5" x14ac:dyDescent="0.35">
      <c r="A9" s="14">
        <v>44974</v>
      </c>
      <c r="B9" s="15">
        <v>217</v>
      </c>
    </row>
    <row r="10" spans="1:3" ht="14.5" x14ac:dyDescent="0.35">
      <c r="A10" s="14">
        <v>44975</v>
      </c>
      <c r="B10" s="15">
        <v>217</v>
      </c>
    </row>
    <row r="11" spans="1:3" ht="14.5" x14ac:dyDescent="0.35">
      <c r="A11" s="14">
        <v>44976</v>
      </c>
      <c r="B11" s="15">
        <v>217</v>
      </c>
    </row>
    <row r="12" spans="1:3" ht="14.5" x14ac:dyDescent="0.35">
      <c r="A12" s="14">
        <v>44977</v>
      </c>
      <c r="B12" s="15">
        <v>217</v>
      </c>
    </row>
    <row r="13" spans="1:3" ht="14.5" x14ac:dyDescent="0.35">
      <c r="A13" s="14">
        <v>44978</v>
      </c>
      <c r="B13" s="15">
        <v>217</v>
      </c>
    </row>
    <row r="14" spans="1:3" ht="14.5" x14ac:dyDescent="0.35">
      <c r="A14" s="14">
        <v>44979</v>
      </c>
      <c r="B14" s="15">
        <v>217</v>
      </c>
    </row>
    <row r="15" spans="1:3" ht="14.5" x14ac:dyDescent="0.35">
      <c r="A15" s="14">
        <v>44980</v>
      </c>
      <c r="B15" s="12">
        <v>212.89</v>
      </c>
    </row>
    <row r="16" spans="1:3" ht="14.5" x14ac:dyDescent="0.35">
      <c r="A16" s="14">
        <v>44981</v>
      </c>
      <c r="B16" s="12">
        <v>244.91</v>
      </c>
    </row>
    <row r="17" spans="1:2" ht="14.5" x14ac:dyDescent="0.35">
      <c r="A17" s="14">
        <v>44982</v>
      </c>
      <c r="B17" s="12">
        <v>277.85000000000002</v>
      </c>
    </row>
    <row r="18" spans="1:2" ht="14.5" x14ac:dyDescent="0.35">
      <c r="A18" s="14">
        <v>44983</v>
      </c>
      <c r="B18" s="12">
        <v>275</v>
      </c>
    </row>
    <row r="19" spans="1:2" ht="14.5" x14ac:dyDescent="0.35">
      <c r="A19" s="14">
        <v>44984</v>
      </c>
      <c r="B19" s="12">
        <v>255.99</v>
      </c>
    </row>
    <row r="20" spans="1:2" ht="14.5" x14ac:dyDescent="0.35">
      <c r="A20" s="14">
        <v>44985</v>
      </c>
      <c r="B20" s="12">
        <v>239.04</v>
      </c>
    </row>
    <row r="21" spans="1:2" ht="15.75" customHeight="1" x14ac:dyDescent="0.35">
      <c r="A21" s="14">
        <v>44986</v>
      </c>
      <c r="B21" s="12">
        <v>278.14</v>
      </c>
    </row>
    <row r="22" spans="1:2" ht="15.75" customHeight="1" x14ac:dyDescent="0.35">
      <c r="A22" s="14">
        <v>44987</v>
      </c>
      <c r="B22" s="12">
        <v>254.74</v>
      </c>
    </row>
    <row r="23" spans="1:2" ht="15.75" customHeight="1" x14ac:dyDescent="0.35">
      <c r="A23" s="14">
        <v>44988</v>
      </c>
      <c r="B23" s="12">
        <v>252.38</v>
      </c>
    </row>
    <row r="24" spans="1:2" ht="15.75" customHeight="1" x14ac:dyDescent="0.35">
      <c r="A24" s="14">
        <v>44989</v>
      </c>
      <c r="B24" s="12">
        <v>241.55</v>
      </c>
    </row>
    <row r="25" spans="1:2" ht="15.75" customHeight="1" x14ac:dyDescent="0.35">
      <c r="A25" s="14">
        <v>44990</v>
      </c>
      <c r="B25" s="12">
        <v>160.28</v>
      </c>
    </row>
    <row r="26" spans="1:2" ht="15.75" customHeight="1" x14ac:dyDescent="0.35">
      <c r="A26" s="14">
        <v>44991</v>
      </c>
      <c r="B26" s="12">
        <v>157.94999999999999</v>
      </c>
    </row>
    <row r="27" spans="1:2" ht="15.75" customHeight="1" x14ac:dyDescent="0.35">
      <c r="A27" s="14">
        <v>44992</v>
      </c>
      <c r="B27" s="12">
        <v>214.18</v>
      </c>
    </row>
    <row r="28" spans="1:2" ht="15.75" customHeight="1" x14ac:dyDescent="0.35">
      <c r="A28" s="14">
        <v>44993</v>
      </c>
      <c r="B28" s="12">
        <v>216.36</v>
      </c>
    </row>
    <row r="29" spans="1:2" ht="15.75" customHeight="1" x14ac:dyDescent="0.35">
      <c r="A29" s="14">
        <v>44994</v>
      </c>
      <c r="B29" s="12">
        <v>238.67</v>
      </c>
    </row>
    <row r="30" spans="1:2" ht="15.75" customHeight="1" x14ac:dyDescent="0.35">
      <c r="A30" s="14">
        <v>44995</v>
      </c>
      <c r="B30" s="12">
        <v>217.96</v>
      </c>
    </row>
    <row r="31" spans="1:2" ht="15.75" customHeight="1" x14ac:dyDescent="0.35">
      <c r="A31" s="14">
        <v>44996</v>
      </c>
      <c r="B31" s="12">
        <v>138.11000000000001</v>
      </c>
    </row>
    <row r="32" spans="1:2" ht="15.75" customHeight="1" x14ac:dyDescent="0.35">
      <c r="A32" s="14">
        <v>44997</v>
      </c>
      <c r="B32" s="12">
        <v>175.85</v>
      </c>
    </row>
    <row r="33" spans="1:5" ht="15.75" customHeight="1" x14ac:dyDescent="0.35">
      <c r="A33" s="14">
        <v>44998</v>
      </c>
      <c r="B33" s="12">
        <v>188.89</v>
      </c>
    </row>
    <row r="34" spans="1:5" ht="15.75" customHeight="1" x14ac:dyDescent="0.35">
      <c r="A34" s="14">
        <v>44999</v>
      </c>
      <c r="B34" s="12">
        <v>184.23</v>
      </c>
      <c r="E34" s="16"/>
    </row>
    <row r="35" spans="1:5" ht="15.75" customHeight="1" x14ac:dyDescent="0.35">
      <c r="A35" s="14">
        <v>45000</v>
      </c>
      <c r="B35" s="12">
        <v>134.41999999999999</v>
      </c>
    </row>
    <row r="36" spans="1:5" ht="15.75" customHeight="1" x14ac:dyDescent="0.35">
      <c r="A36" s="14">
        <v>45001</v>
      </c>
      <c r="B36" s="12">
        <v>207.75</v>
      </c>
      <c r="C36" s="12">
        <v>119</v>
      </c>
    </row>
    <row r="37" spans="1:5" ht="15.75" customHeight="1" x14ac:dyDescent="0.35">
      <c r="A37" s="14">
        <v>45002</v>
      </c>
      <c r="B37" s="12">
        <v>211.2</v>
      </c>
      <c r="C37" s="12">
        <v>127.7</v>
      </c>
    </row>
    <row r="38" spans="1:5" ht="15.75" customHeight="1" x14ac:dyDescent="0.35">
      <c r="A38" s="14">
        <v>45003</v>
      </c>
    </row>
    <row r="39" spans="1:5" ht="15.75" customHeight="1" x14ac:dyDescent="0.35">
      <c r="A39" s="14">
        <v>45004</v>
      </c>
    </row>
    <row r="40" spans="1:5" ht="15.75" customHeight="1" x14ac:dyDescent="0.35">
      <c r="A40" s="14">
        <v>45005</v>
      </c>
      <c r="B40" s="12">
        <v>211.66</v>
      </c>
      <c r="C40" s="12">
        <v>135.19999999999999</v>
      </c>
    </row>
    <row r="41" spans="1:5" ht="15.75" customHeight="1" x14ac:dyDescent="0.35">
      <c r="A41" s="14">
        <v>45006</v>
      </c>
      <c r="B41" s="15">
        <v>29.1</v>
      </c>
      <c r="C41" s="15">
        <v>20.9</v>
      </c>
    </row>
    <row r="42" spans="1:5" ht="15.75" customHeight="1" x14ac:dyDescent="0.35">
      <c r="A42" s="14">
        <v>45007</v>
      </c>
      <c r="B42" s="12">
        <v>212.19</v>
      </c>
      <c r="C42" s="12">
        <v>125.6</v>
      </c>
    </row>
    <row r="43" spans="1:5" ht="15.75" customHeight="1" x14ac:dyDescent="0.35">
      <c r="A43" s="14">
        <v>45008</v>
      </c>
      <c r="B43" s="12">
        <v>207.14</v>
      </c>
      <c r="C43" s="12">
        <v>125</v>
      </c>
    </row>
    <row r="44" spans="1:5" ht="15.75" customHeight="1" x14ac:dyDescent="0.35">
      <c r="A44" s="14">
        <v>45009</v>
      </c>
      <c r="B44" s="12">
        <v>211.15</v>
      </c>
      <c r="C44" s="12">
        <v>129.4</v>
      </c>
    </row>
    <row r="45" spans="1:5" ht="15.75" customHeight="1" x14ac:dyDescent="0.35">
      <c r="A45" s="14">
        <v>45010</v>
      </c>
      <c r="B45" s="12">
        <v>184.51</v>
      </c>
      <c r="C45" s="12">
        <v>110.9</v>
      </c>
    </row>
    <row r="46" spans="1:5" ht="15.75" customHeight="1" x14ac:dyDescent="0.35">
      <c r="A46" s="14">
        <v>45011</v>
      </c>
      <c r="B46" s="12">
        <v>205.99</v>
      </c>
      <c r="C46" s="12">
        <v>127</v>
      </c>
    </row>
    <row r="47" spans="1:5" ht="15.75" customHeight="1" x14ac:dyDescent="0.35">
      <c r="A47" s="14">
        <v>45012</v>
      </c>
      <c r="B47" s="12">
        <v>72.19</v>
      </c>
      <c r="C47" s="12">
        <v>40.700000000000003</v>
      </c>
    </row>
    <row r="48" spans="1:5" ht="15.75" customHeight="1" x14ac:dyDescent="0.35">
      <c r="A48" s="14">
        <v>45013</v>
      </c>
      <c r="B48" s="12">
        <v>95.57</v>
      </c>
      <c r="C48" s="12">
        <v>57.1</v>
      </c>
    </row>
    <row r="49" spans="1:3" ht="15.75" customHeight="1" x14ac:dyDescent="0.35">
      <c r="A49" s="14">
        <v>45014</v>
      </c>
      <c r="B49" s="12">
        <v>173.63</v>
      </c>
      <c r="C49" s="12">
        <v>110.4</v>
      </c>
    </row>
    <row r="50" spans="1:3" ht="15.75" customHeight="1" x14ac:dyDescent="0.35">
      <c r="A50" s="14">
        <v>45015</v>
      </c>
      <c r="B50" s="12">
        <v>160.58000000000001</v>
      </c>
      <c r="C50" s="12">
        <v>99.1</v>
      </c>
    </row>
    <row r="51" spans="1:3" ht="15.75" customHeight="1" x14ac:dyDescent="0.35">
      <c r="A51" s="14">
        <v>45016</v>
      </c>
      <c r="B51" s="12">
        <v>197.64</v>
      </c>
      <c r="C51" s="12">
        <v>126.3</v>
      </c>
    </row>
    <row r="52" spans="1:3" ht="15.75" customHeight="1" x14ac:dyDescent="0.35">
      <c r="A52" s="14">
        <v>45017</v>
      </c>
      <c r="B52" s="12">
        <v>202.23</v>
      </c>
      <c r="C52" s="12">
        <v>125.7</v>
      </c>
    </row>
    <row r="53" spans="1:3" ht="15.75" customHeight="1" x14ac:dyDescent="0.35">
      <c r="A53" s="14">
        <v>45018</v>
      </c>
      <c r="B53" s="12">
        <v>72.209999999999994</v>
      </c>
      <c r="C53" s="12">
        <v>41.9</v>
      </c>
    </row>
    <row r="54" spans="1:3" ht="15.75" customHeight="1" x14ac:dyDescent="0.35">
      <c r="A54" s="14">
        <v>45019</v>
      </c>
      <c r="B54" s="12">
        <v>158.13999999999999</v>
      </c>
      <c r="C54" s="12">
        <v>103</v>
      </c>
    </row>
    <row r="55" spans="1:3" ht="15.75" customHeight="1" x14ac:dyDescent="0.35">
      <c r="A55" s="14">
        <v>45020</v>
      </c>
      <c r="B55" s="12">
        <v>195.87</v>
      </c>
      <c r="C55" s="12">
        <v>125.3</v>
      </c>
    </row>
    <row r="56" spans="1:3" ht="15.75" customHeight="1" x14ac:dyDescent="0.35">
      <c r="A56" s="14">
        <v>45021</v>
      </c>
      <c r="B56" s="12">
        <v>192.63</v>
      </c>
      <c r="C56" s="12">
        <v>124.4</v>
      </c>
    </row>
    <row r="57" spans="1:3" ht="15.75" customHeight="1" x14ac:dyDescent="0.35">
      <c r="A57" s="14">
        <v>45022</v>
      </c>
      <c r="B57" s="12">
        <v>131.02000000000001</v>
      </c>
      <c r="C57" s="12">
        <v>80.099999999999994</v>
      </c>
    </row>
    <row r="58" spans="1:3" ht="15.75" customHeight="1" x14ac:dyDescent="0.35">
      <c r="A58" s="14">
        <v>45023</v>
      </c>
      <c r="B58" s="12">
        <v>113.13</v>
      </c>
      <c r="C58" s="12">
        <v>69.2</v>
      </c>
    </row>
    <row r="59" spans="1:3" ht="15.75" customHeight="1" x14ac:dyDescent="0.35">
      <c r="A59" s="14">
        <v>45024</v>
      </c>
      <c r="B59" s="12">
        <v>56.24</v>
      </c>
      <c r="C59" s="12">
        <v>31.9</v>
      </c>
    </row>
    <row r="60" spans="1:3" ht="15.75" customHeight="1" x14ac:dyDescent="0.35">
      <c r="A60" s="14">
        <v>45025</v>
      </c>
      <c r="B60" s="12">
        <v>33.21</v>
      </c>
      <c r="C60" s="12">
        <v>18.899999999999999</v>
      </c>
    </row>
    <row r="61" spans="1:3" ht="15.75" customHeight="1" x14ac:dyDescent="0.35">
      <c r="A61" s="14">
        <v>45026</v>
      </c>
      <c r="B61" s="12">
        <v>142.55000000000001</v>
      </c>
      <c r="C61" s="12">
        <v>88</v>
      </c>
    </row>
    <row r="62" spans="1:3" ht="15.75" customHeight="1" x14ac:dyDescent="0.35">
      <c r="A62" s="14">
        <v>45027</v>
      </c>
      <c r="B62" s="12">
        <v>172.28</v>
      </c>
      <c r="C62" s="12">
        <v>115</v>
      </c>
    </row>
    <row r="63" spans="1:3" ht="15.75" customHeight="1" x14ac:dyDescent="0.35">
      <c r="A63" s="14">
        <v>45028</v>
      </c>
      <c r="B63" s="12">
        <v>156.96</v>
      </c>
      <c r="C63" s="12">
        <v>105</v>
      </c>
    </row>
    <row r="64" spans="1:3" ht="15.75" customHeight="1" x14ac:dyDescent="0.35">
      <c r="A64" s="14">
        <v>45029</v>
      </c>
      <c r="B64" s="12">
        <v>170.21</v>
      </c>
      <c r="C64" s="12">
        <v>113.5</v>
      </c>
    </row>
    <row r="65" spans="1:3" ht="15.75" customHeight="1" x14ac:dyDescent="0.35">
      <c r="A65" s="14">
        <v>45030</v>
      </c>
      <c r="B65" s="12">
        <v>135.27000000000001</v>
      </c>
      <c r="C65" s="12">
        <v>93</v>
      </c>
    </row>
    <row r="66" spans="1:3" ht="15.75" customHeight="1" x14ac:dyDescent="0.35">
      <c r="A66" s="14">
        <v>45031</v>
      </c>
      <c r="B66" s="12">
        <v>120.83</v>
      </c>
      <c r="C66" s="12">
        <v>85.5</v>
      </c>
    </row>
    <row r="67" spans="1:3" ht="15.75" customHeight="1" x14ac:dyDescent="0.35">
      <c r="A67" s="14">
        <v>45032</v>
      </c>
      <c r="B67" s="12">
        <v>124.7</v>
      </c>
      <c r="C67" s="12">
        <v>78.2</v>
      </c>
    </row>
    <row r="68" spans="1:3" ht="15.75" customHeight="1" x14ac:dyDescent="0.35">
      <c r="A68" s="14">
        <v>45033</v>
      </c>
      <c r="B68" s="12">
        <v>166.72</v>
      </c>
      <c r="C68" s="12">
        <v>113.2</v>
      </c>
    </row>
    <row r="69" spans="1:3" ht="15.75" customHeight="1" x14ac:dyDescent="0.35">
      <c r="A69" s="14">
        <v>45034</v>
      </c>
      <c r="B69" s="12">
        <v>64.430000000000007</v>
      </c>
      <c r="C69" s="12">
        <v>37</v>
      </c>
    </row>
    <row r="70" spans="1:3" ht="15.75" customHeight="1" x14ac:dyDescent="0.35">
      <c r="A70" s="14">
        <v>45035</v>
      </c>
      <c r="B70" s="12">
        <v>54.84</v>
      </c>
      <c r="C70" s="12">
        <v>31.9</v>
      </c>
    </row>
    <row r="71" spans="1:3" ht="15.75" customHeight="1" x14ac:dyDescent="0.35">
      <c r="A71" s="14">
        <v>45036</v>
      </c>
      <c r="B71" s="12">
        <v>163.93</v>
      </c>
      <c r="C71" s="12">
        <v>109.3</v>
      </c>
    </row>
    <row r="72" spans="1:3" ht="15.75" customHeight="1" x14ac:dyDescent="0.35">
      <c r="A72" s="14">
        <v>45037</v>
      </c>
      <c r="B72" s="12">
        <v>166.12</v>
      </c>
      <c r="C72" s="12">
        <v>109.2</v>
      </c>
    </row>
    <row r="73" spans="1:3" ht="15.75" customHeight="1" x14ac:dyDescent="0.35">
      <c r="A73" s="14">
        <v>45038</v>
      </c>
      <c r="B73" s="12">
        <v>121.81</v>
      </c>
      <c r="C73" s="12">
        <v>84.4</v>
      </c>
    </row>
    <row r="74" spans="1:3" ht="15.75" customHeight="1" x14ac:dyDescent="0.35">
      <c r="A74" s="14">
        <v>45039</v>
      </c>
      <c r="B74" s="12">
        <v>118.27</v>
      </c>
      <c r="C74" s="12">
        <v>82.6</v>
      </c>
    </row>
    <row r="75" spans="1:3" ht="15.75" customHeight="1" x14ac:dyDescent="0.35">
      <c r="A75" s="14">
        <v>45040</v>
      </c>
      <c r="B75" s="12">
        <v>155.12</v>
      </c>
      <c r="C75" s="12">
        <v>106.5</v>
      </c>
    </row>
    <row r="76" spans="1:3" ht="15.75" customHeight="1" x14ac:dyDescent="0.35">
      <c r="A76" s="14">
        <v>45041</v>
      </c>
      <c r="B76" s="12">
        <v>140.85</v>
      </c>
      <c r="C76" s="12">
        <v>99.6</v>
      </c>
    </row>
    <row r="77" spans="1:3" ht="15.75" customHeight="1" x14ac:dyDescent="0.35">
      <c r="A77" s="14">
        <v>45042</v>
      </c>
      <c r="B77" s="12">
        <v>133.26</v>
      </c>
      <c r="C77" s="12">
        <v>93</v>
      </c>
    </row>
    <row r="78" spans="1:3" ht="15.75" customHeight="1" x14ac:dyDescent="0.35">
      <c r="A78" s="14">
        <v>45043</v>
      </c>
      <c r="B78" s="12">
        <v>150.32</v>
      </c>
      <c r="C78" s="12">
        <v>102.7</v>
      </c>
    </row>
    <row r="79" spans="1:3" ht="15.75" customHeight="1" x14ac:dyDescent="0.35">
      <c r="A79" s="14">
        <v>45044</v>
      </c>
      <c r="B79" s="12">
        <v>36.81</v>
      </c>
      <c r="C79" s="12">
        <v>21.3</v>
      </c>
    </row>
    <row r="80" spans="1:3" ht="15.75" customHeight="1" x14ac:dyDescent="0.35">
      <c r="A80" s="14">
        <v>45045</v>
      </c>
      <c r="B80" s="12">
        <v>68.92</v>
      </c>
      <c r="C80" s="12">
        <v>46.1</v>
      </c>
    </row>
    <row r="81" spans="1:3" ht="15.75" customHeight="1" x14ac:dyDescent="0.35">
      <c r="A81" s="14">
        <v>45046</v>
      </c>
      <c r="B81" s="12">
        <v>135.33000000000001</v>
      </c>
      <c r="C81" s="12">
        <v>85.5</v>
      </c>
    </row>
    <row r="82" spans="1:3" ht="15.75" customHeight="1" x14ac:dyDescent="0.35">
      <c r="A82" s="14">
        <v>45047</v>
      </c>
      <c r="B82" s="12">
        <v>143.62</v>
      </c>
      <c r="C82" s="12">
        <v>99.6</v>
      </c>
    </row>
    <row r="83" spans="1:3" ht="15.75" customHeight="1" x14ac:dyDescent="0.35">
      <c r="A83" s="14">
        <v>45048</v>
      </c>
      <c r="B83" s="12">
        <v>104.94</v>
      </c>
      <c r="C83" s="12">
        <v>75.900000000000006</v>
      </c>
    </row>
    <row r="84" spans="1:3" ht="15.75" customHeight="1" x14ac:dyDescent="0.35">
      <c r="A84" s="14">
        <v>45049</v>
      </c>
      <c r="B84" s="12">
        <v>109.86</v>
      </c>
      <c r="C84" s="12">
        <v>79.2</v>
      </c>
    </row>
    <row r="85" spans="1:3" ht="15.75" customHeight="1" x14ac:dyDescent="0.35">
      <c r="A85" s="14">
        <v>45050</v>
      </c>
      <c r="B85" s="12">
        <v>130.5</v>
      </c>
      <c r="C85" s="12">
        <v>89.4</v>
      </c>
    </row>
    <row r="86" spans="1:3" ht="15.75" customHeight="1" x14ac:dyDescent="0.35">
      <c r="A86" s="14">
        <v>45051</v>
      </c>
      <c r="B86" s="12">
        <v>98.85</v>
      </c>
      <c r="C86" s="15">
        <f t="shared" ref="C86:C188" si="0">B86*64%</f>
        <v>63.263999999999996</v>
      </c>
    </row>
    <row r="87" spans="1:3" ht="15.75" customHeight="1" x14ac:dyDescent="0.35">
      <c r="A87" s="14">
        <v>45052</v>
      </c>
      <c r="B87" s="12">
        <v>122.8</v>
      </c>
      <c r="C87" s="15">
        <f t="shared" si="0"/>
        <v>78.591999999999999</v>
      </c>
    </row>
    <row r="88" spans="1:3" ht="15.75" customHeight="1" x14ac:dyDescent="0.35">
      <c r="A88" s="14">
        <v>45053</v>
      </c>
      <c r="B88" s="12">
        <v>103.28</v>
      </c>
      <c r="C88" s="15">
        <f t="shared" si="0"/>
        <v>66.099199999999996</v>
      </c>
    </row>
    <row r="89" spans="1:3" ht="15.75" customHeight="1" x14ac:dyDescent="0.35">
      <c r="A89" s="14">
        <v>45054</v>
      </c>
      <c r="B89" s="12">
        <v>122.09</v>
      </c>
      <c r="C89" s="15">
        <f t="shared" si="0"/>
        <v>78.137600000000006</v>
      </c>
    </row>
    <row r="90" spans="1:3" ht="15.75" customHeight="1" x14ac:dyDescent="0.35">
      <c r="A90" s="14">
        <v>45055</v>
      </c>
      <c r="B90" s="12">
        <v>100.43</v>
      </c>
      <c r="C90" s="15">
        <f t="shared" si="0"/>
        <v>64.275200000000012</v>
      </c>
    </row>
    <row r="91" spans="1:3" ht="15.75" customHeight="1" x14ac:dyDescent="0.35">
      <c r="A91" s="14">
        <v>45056</v>
      </c>
      <c r="B91" s="12">
        <v>39.18</v>
      </c>
      <c r="C91" s="15">
        <f t="shared" si="0"/>
        <v>25.075199999999999</v>
      </c>
    </row>
    <row r="92" spans="1:3" ht="15.75" customHeight="1" x14ac:dyDescent="0.35">
      <c r="A92" s="14">
        <v>45057</v>
      </c>
      <c r="B92" s="12">
        <v>58.24</v>
      </c>
      <c r="C92" s="15">
        <f t="shared" si="0"/>
        <v>37.273600000000002</v>
      </c>
    </row>
    <row r="93" spans="1:3" ht="15.75" customHeight="1" x14ac:dyDescent="0.35">
      <c r="A93" s="14">
        <v>45058</v>
      </c>
      <c r="B93" s="12">
        <v>73.73</v>
      </c>
      <c r="C93" s="15">
        <f t="shared" si="0"/>
        <v>47.187200000000004</v>
      </c>
    </row>
    <row r="94" spans="1:3" ht="15.75" customHeight="1" x14ac:dyDescent="0.35">
      <c r="A94" s="14">
        <v>45059</v>
      </c>
      <c r="B94" s="12">
        <v>97.99</v>
      </c>
      <c r="C94" s="15">
        <f t="shared" si="0"/>
        <v>62.7136</v>
      </c>
    </row>
    <row r="95" spans="1:3" ht="15.75" customHeight="1" x14ac:dyDescent="0.35">
      <c r="A95" s="14">
        <v>45060</v>
      </c>
      <c r="B95" s="12">
        <v>118.01</v>
      </c>
      <c r="C95" s="15">
        <f t="shared" si="0"/>
        <v>75.52640000000001</v>
      </c>
    </row>
    <row r="96" spans="1:3" ht="15.75" customHeight="1" x14ac:dyDescent="0.35">
      <c r="A96" s="14">
        <v>45061</v>
      </c>
      <c r="B96" s="12">
        <v>115.3</v>
      </c>
      <c r="C96" s="15">
        <f t="shared" si="0"/>
        <v>73.792000000000002</v>
      </c>
    </row>
    <row r="97" spans="1:3" ht="15.75" customHeight="1" x14ac:dyDescent="0.35">
      <c r="A97" s="14">
        <v>45062</v>
      </c>
      <c r="B97" s="12">
        <v>118.88</v>
      </c>
      <c r="C97" s="15">
        <f t="shared" si="0"/>
        <v>76.083200000000005</v>
      </c>
    </row>
    <row r="98" spans="1:3" ht="15.75" customHeight="1" x14ac:dyDescent="0.35">
      <c r="A98" s="14">
        <v>45063</v>
      </c>
      <c r="B98" s="12">
        <v>67.959999999999994</v>
      </c>
      <c r="C98" s="15">
        <f t="shared" si="0"/>
        <v>43.494399999999999</v>
      </c>
    </row>
    <row r="99" spans="1:3" ht="15.75" customHeight="1" x14ac:dyDescent="0.35">
      <c r="A99" s="14">
        <v>45064</v>
      </c>
      <c r="B99" s="12">
        <v>99.93</v>
      </c>
      <c r="C99" s="15">
        <f t="shared" si="0"/>
        <v>63.955200000000005</v>
      </c>
    </row>
    <row r="100" spans="1:3" ht="15.75" customHeight="1" x14ac:dyDescent="0.35">
      <c r="A100" s="14">
        <v>45065</v>
      </c>
      <c r="B100" s="12">
        <v>109.24</v>
      </c>
      <c r="C100" s="15">
        <f t="shared" si="0"/>
        <v>69.913600000000002</v>
      </c>
    </row>
    <row r="101" spans="1:3" ht="15.75" customHeight="1" x14ac:dyDescent="0.35">
      <c r="A101" s="14">
        <v>45066</v>
      </c>
      <c r="B101" s="12">
        <v>111.88</v>
      </c>
      <c r="C101" s="15">
        <f t="shared" si="0"/>
        <v>71.603200000000001</v>
      </c>
    </row>
    <row r="102" spans="1:3" ht="15.75" customHeight="1" x14ac:dyDescent="0.35">
      <c r="A102" s="14">
        <v>45067</v>
      </c>
      <c r="B102" s="12">
        <v>106.73</v>
      </c>
      <c r="C102" s="15">
        <f t="shared" si="0"/>
        <v>68.307200000000009</v>
      </c>
    </row>
    <row r="103" spans="1:3" ht="15.75" customHeight="1" x14ac:dyDescent="0.35">
      <c r="A103" s="14">
        <v>45068</v>
      </c>
      <c r="B103" s="12">
        <v>97.48</v>
      </c>
      <c r="C103" s="15">
        <f t="shared" si="0"/>
        <v>62.387200000000007</v>
      </c>
    </row>
    <row r="104" spans="1:3" ht="15.75" customHeight="1" x14ac:dyDescent="0.35">
      <c r="A104" s="14">
        <v>45069</v>
      </c>
      <c r="B104" s="12">
        <v>99.39</v>
      </c>
      <c r="C104" s="15">
        <f t="shared" si="0"/>
        <v>63.6096</v>
      </c>
    </row>
    <row r="105" spans="1:3" ht="15.75" customHeight="1" x14ac:dyDescent="0.35">
      <c r="A105" s="14">
        <v>45070</v>
      </c>
      <c r="B105" s="12">
        <v>101.96</v>
      </c>
      <c r="C105" s="15">
        <f t="shared" si="0"/>
        <v>65.254400000000004</v>
      </c>
    </row>
    <row r="106" spans="1:3" ht="15.75" customHeight="1" x14ac:dyDescent="0.35">
      <c r="A106" s="14">
        <v>45071</v>
      </c>
      <c r="B106" s="12">
        <v>101.24</v>
      </c>
      <c r="C106" s="15">
        <f t="shared" si="0"/>
        <v>64.793599999999998</v>
      </c>
    </row>
    <row r="107" spans="1:3" ht="15.75" customHeight="1" x14ac:dyDescent="0.35">
      <c r="A107" s="14">
        <v>45072</v>
      </c>
      <c r="B107" s="12">
        <v>97.85</v>
      </c>
      <c r="C107" s="15">
        <f t="shared" si="0"/>
        <v>62.623999999999995</v>
      </c>
    </row>
    <row r="108" spans="1:3" ht="15.75" customHeight="1" x14ac:dyDescent="0.35">
      <c r="A108" s="14">
        <v>45073</v>
      </c>
      <c r="B108" s="12">
        <v>96.47</v>
      </c>
      <c r="C108" s="15">
        <f t="shared" si="0"/>
        <v>61.7408</v>
      </c>
    </row>
    <row r="109" spans="1:3" ht="15.75" customHeight="1" x14ac:dyDescent="0.35">
      <c r="A109" s="14">
        <v>45074</v>
      </c>
      <c r="B109" s="12">
        <v>96.48</v>
      </c>
      <c r="C109" s="15">
        <f t="shared" si="0"/>
        <v>61.747200000000007</v>
      </c>
    </row>
    <row r="110" spans="1:3" ht="15.75" customHeight="1" x14ac:dyDescent="0.35">
      <c r="A110" s="14">
        <v>45075</v>
      </c>
      <c r="B110" s="12">
        <v>41.69</v>
      </c>
      <c r="C110" s="15">
        <f t="shared" si="0"/>
        <v>26.6816</v>
      </c>
    </row>
    <row r="111" spans="1:3" ht="15.75" customHeight="1" x14ac:dyDescent="0.35">
      <c r="A111" s="14">
        <v>45076</v>
      </c>
      <c r="B111" s="12">
        <v>64.28</v>
      </c>
      <c r="C111" s="15">
        <f t="shared" si="0"/>
        <v>41.139200000000002</v>
      </c>
    </row>
    <row r="112" spans="1:3" ht="15.75" customHeight="1" x14ac:dyDescent="0.35">
      <c r="A112" s="14">
        <v>45077</v>
      </c>
      <c r="B112" s="12">
        <v>22.38</v>
      </c>
      <c r="C112" s="15">
        <f t="shared" si="0"/>
        <v>14.3232</v>
      </c>
    </row>
    <row r="113" spans="1:3" ht="15.75" customHeight="1" x14ac:dyDescent="0.35">
      <c r="A113" s="14">
        <v>45078</v>
      </c>
      <c r="B113" s="12">
        <v>72.61</v>
      </c>
      <c r="C113" s="15">
        <f t="shared" si="0"/>
        <v>46.470399999999998</v>
      </c>
    </row>
    <row r="114" spans="1:3" ht="15.75" customHeight="1" x14ac:dyDescent="0.35">
      <c r="A114" s="14">
        <v>45079</v>
      </c>
      <c r="B114" s="12">
        <v>67.180000000000007</v>
      </c>
      <c r="C114" s="15">
        <f t="shared" si="0"/>
        <v>42.995200000000004</v>
      </c>
    </row>
    <row r="115" spans="1:3" ht="15.75" customHeight="1" x14ac:dyDescent="0.35">
      <c r="A115" s="14">
        <v>45080</v>
      </c>
      <c r="B115" s="12">
        <v>90.21</v>
      </c>
      <c r="C115" s="15">
        <f t="shared" si="0"/>
        <v>57.734399999999994</v>
      </c>
    </row>
    <row r="116" spans="1:3" ht="15.75" customHeight="1" x14ac:dyDescent="0.35">
      <c r="A116" s="14">
        <v>45081</v>
      </c>
      <c r="B116" s="12">
        <v>90.81</v>
      </c>
      <c r="C116" s="15">
        <f t="shared" si="0"/>
        <v>58.118400000000001</v>
      </c>
    </row>
    <row r="117" spans="1:3" ht="15.75" customHeight="1" x14ac:dyDescent="0.35">
      <c r="A117" s="14">
        <v>45082</v>
      </c>
      <c r="B117" s="12">
        <v>89.87</v>
      </c>
      <c r="C117" s="15">
        <f t="shared" si="0"/>
        <v>57.516800000000003</v>
      </c>
    </row>
    <row r="118" spans="1:3" ht="15.75" customHeight="1" x14ac:dyDescent="0.35">
      <c r="A118" s="14">
        <v>45083</v>
      </c>
      <c r="B118" s="12">
        <v>91.27</v>
      </c>
      <c r="C118" s="15">
        <f t="shared" si="0"/>
        <v>58.412799999999997</v>
      </c>
    </row>
    <row r="119" spans="1:3" ht="15.75" customHeight="1" x14ac:dyDescent="0.35">
      <c r="A119" s="14">
        <v>45084</v>
      </c>
      <c r="B119" s="12">
        <v>88.21</v>
      </c>
      <c r="C119" s="15">
        <f t="shared" si="0"/>
        <v>56.4544</v>
      </c>
    </row>
    <row r="120" spans="1:3" ht="15.75" customHeight="1" x14ac:dyDescent="0.35">
      <c r="A120" s="14">
        <v>45085</v>
      </c>
      <c r="B120" s="12">
        <v>86.89</v>
      </c>
      <c r="C120" s="15">
        <f t="shared" si="0"/>
        <v>55.6096</v>
      </c>
    </row>
    <row r="121" spans="1:3" ht="15.75" customHeight="1" x14ac:dyDescent="0.35">
      <c r="A121" s="14">
        <v>45086</v>
      </c>
      <c r="B121" s="12">
        <v>85.1</v>
      </c>
      <c r="C121" s="15">
        <f t="shared" si="0"/>
        <v>54.463999999999999</v>
      </c>
    </row>
    <row r="122" spans="1:3" ht="15.75" customHeight="1" x14ac:dyDescent="0.35">
      <c r="A122" s="14">
        <v>45087</v>
      </c>
      <c r="B122" s="12">
        <v>82.13</v>
      </c>
      <c r="C122" s="15">
        <f t="shared" si="0"/>
        <v>52.563199999999995</v>
      </c>
    </row>
    <row r="123" spans="1:3" ht="15.75" customHeight="1" x14ac:dyDescent="0.35">
      <c r="A123" s="14">
        <v>45088</v>
      </c>
      <c r="B123" s="12">
        <v>82.62</v>
      </c>
      <c r="C123" s="15">
        <f t="shared" si="0"/>
        <v>52.876800000000003</v>
      </c>
    </row>
    <row r="124" spans="1:3" ht="15.75" customHeight="1" x14ac:dyDescent="0.35">
      <c r="A124" s="14">
        <v>45089</v>
      </c>
      <c r="B124" s="12">
        <v>80.42</v>
      </c>
      <c r="C124" s="15">
        <f t="shared" si="0"/>
        <v>51.468800000000002</v>
      </c>
    </row>
    <row r="125" spans="1:3" ht="15.75" customHeight="1" x14ac:dyDescent="0.35">
      <c r="A125" s="14">
        <v>45090</v>
      </c>
      <c r="B125" s="12">
        <v>54.25</v>
      </c>
      <c r="C125" s="15">
        <f t="shared" si="0"/>
        <v>34.72</v>
      </c>
    </row>
    <row r="126" spans="1:3" ht="15.75" customHeight="1" x14ac:dyDescent="0.35">
      <c r="A126" s="14">
        <v>45091</v>
      </c>
      <c r="B126" s="12">
        <v>64.05</v>
      </c>
      <c r="C126" s="15">
        <f t="shared" si="0"/>
        <v>40.991999999999997</v>
      </c>
    </row>
    <row r="127" spans="1:3" ht="15.75" customHeight="1" x14ac:dyDescent="0.35">
      <c r="A127" s="14">
        <v>45092</v>
      </c>
      <c r="B127" s="12">
        <v>64.260000000000005</v>
      </c>
      <c r="C127" s="15">
        <f t="shared" si="0"/>
        <v>41.126400000000004</v>
      </c>
    </row>
    <row r="128" spans="1:3" ht="15.75" customHeight="1" x14ac:dyDescent="0.35">
      <c r="A128" s="14">
        <v>45093</v>
      </c>
      <c r="B128" s="12">
        <v>58.06</v>
      </c>
      <c r="C128" s="15">
        <f t="shared" si="0"/>
        <v>37.1584</v>
      </c>
    </row>
    <row r="129" spans="1:3" ht="15.75" customHeight="1" x14ac:dyDescent="0.35">
      <c r="A129" s="14">
        <v>45094</v>
      </c>
      <c r="B129" s="12">
        <v>28.35</v>
      </c>
      <c r="C129" s="15">
        <f t="shared" si="0"/>
        <v>18.144000000000002</v>
      </c>
    </row>
    <row r="130" spans="1:3" ht="15.75" customHeight="1" x14ac:dyDescent="0.35">
      <c r="A130" s="14">
        <v>45095</v>
      </c>
      <c r="B130" s="12">
        <v>66.13</v>
      </c>
      <c r="C130" s="15">
        <f t="shared" si="0"/>
        <v>42.3232</v>
      </c>
    </row>
    <row r="131" spans="1:3" ht="15.75" customHeight="1" x14ac:dyDescent="0.35">
      <c r="A131" s="14">
        <v>45096</v>
      </c>
      <c r="B131" s="12">
        <v>62.95</v>
      </c>
      <c r="C131" s="15">
        <f t="shared" si="0"/>
        <v>40.288000000000004</v>
      </c>
    </row>
    <row r="132" spans="1:3" ht="15.75" customHeight="1" x14ac:dyDescent="0.35">
      <c r="A132" s="14">
        <v>45097</v>
      </c>
      <c r="B132" s="12">
        <v>77.78</v>
      </c>
      <c r="C132" s="15">
        <f t="shared" si="0"/>
        <v>49.779200000000003</v>
      </c>
    </row>
    <row r="133" spans="1:3" ht="15.75" customHeight="1" x14ac:dyDescent="0.35">
      <c r="A133" s="14">
        <v>45098</v>
      </c>
      <c r="B133" s="12">
        <v>81.180000000000007</v>
      </c>
      <c r="C133" s="15">
        <f t="shared" si="0"/>
        <v>51.955200000000005</v>
      </c>
    </row>
    <row r="134" spans="1:3" ht="15.75" customHeight="1" x14ac:dyDescent="0.35">
      <c r="A134" s="14">
        <v>45099</v>
      </c>
      <c r="B134" s="12">
        <v>78.72</v>
      </c>
      <c r="C134" s="15">
        <f t="shared" si="0"/>
        <v>50.380800000000001</v>
      </c>
    </row>
    <row r="135" spans="1:3" ht="15.75" customHeight="1" x14ac:dyDescent="0.35">
      <c r="A135" s="14">
        <v>45100</v>
      </c>
      <c r="B135" s="12">
        <v>76.78</v>
      </c>
      <c r="C135" s="15">
        <f t="shared" si="0"/>
        <v>49.139200000000002</v>
      </c>
    </row>
    <row r="136" spans="1:3" ht="15.75" customHeight="1" x14ac:dyDescent="0.35">
      <c r="A136" s="14">
        <v>45101</v>
      </c>
      <c r="B136" s="12">
        <v>70.94</v>
      </c>
      <c r="C136" s="15">
        <f t="shared" si="0"/>
        <v>45.401600000000002</v>
      </c>
    </row>
    <row r="137" spans="1:3" ht="15.75" customHeight="1" x14ac:dyDescent="0.35">
      <c r="A137" s="14">
        <v>45102</v>
      </c>
      <c r="B137" s="12">
        <v>77.069999999999993</v>
      </c>
      <c r="C137" s="15">
        <f t="shared" si="0"/>
        <v>49.324799999999996</v>
      </c>
    </row>
    <row r="138" spans="1:3" ht="15.75" customHeight="1" x14ac:dyDescent="0.35">
      <c r="A138" s="14">
        <v>45103</v>
      </c>
      <c r="B138" s="12">
        <v>79.22</v>
      </c>
      <c r="C138" s="15">
        <f t="shared" si="0"/>
        <v>50.700800000000001</v>
      </c>
    </row>
    <row r="139" spans="1:3" ht="15.75" customHeight="1" x14ac:dyDescent="0.35">
      <c r="A139" s="14">
        <v>45104</v>
      </c>
      <c r="B139" s="12">
        <v>78.23</v>
      </c>
      <c r="C139" s="15">
        <f t="shared" si="0"/>
        <v>50.067200000000007</v>
      </c>
    </row>
    <row r="140" spans="1:3" ht="15.75" customHeight="1" x14ac:dyDescent="0.35">
      <c r="A140" s="14">
        <v>45105</v>
      </c>
      <c r="B140" s="12">
        <v>78.77</v>
      </c>
      <c r="C140" s="15">
        <f t="shared" si="0"/>
        <v>50.412799999999997</v>
      </c>
    </row>
    <row r="141" spans="1:3" ht="15.75" customHeight="1" x14ac:dyDescent="0.35">
      <c r="A141" s="14">
        <v>45106</v>
      </c>
      <c r="B141" s="12">
        <v>71.64</v>
      </c>
      <c r="C141" s="15">
        <f t="shared" si="0"/>
        <v>45.849600000000002</v>
      </c>
    </row>
    <row r="142" spans="1:3" ht="15.75" customHeight="1" x14ac:dyDescent="0.35">
      <c r="A142" s="14">
        <v>45107</v>
      </c>
      <c r="B142" s="12">
        <v>72.39</v>
      </c>
      <c r="C142" s="15">
        <f t="shared" si="0"/>
        <v>46.329599999999999</v>
      </c>
    </row>
    <row r="143" spans="1:3" ht="15.75" customHeight="1" x14ac:dyDescent="0.35">
      <c r="A143" s="14">
        <v>45108</v>
      </c>
      <c r="B143" s="12">
        <v>80.89</v>
      </c>
      <c r="C143" s="15">
        <f t="shared" si="0"/>
        <v>51.769600000000004</v>
      </c>
    </row>
    <row r="144" spans="1:3" ht="15.75" customHeight="1" x14ac:dyDescent="0.35">
      <c r="A144" s="14">
        <v>45109</v>
      </c>
      <c r="B144" s="12">
        <v>78.040000000000006</v>
      </c>
      <c r="C144" s="15">
        <f t="shared" si="0"/>
        <v>49.945600000000006</v>
      </c>
    </row>
    <row r="145" spans="1:3" ht="15.75" customHeight="1" x14ac:dyDescent="0.35">
      <c r="A145" s="14">
        <v>45110</v>
      </c>
      <c r="B145" s="12">
        <v>73.16</v>
      </c>
      <c r="C145" s="15">
        <f t="shared" si="0"/>
        <v>46.822400000000002</v>
      </c>
    </row>
    <row r="146" spans="1:3" ht="15.75" customHeight="1" x14ac:dyDescent="0.35">
      <c r="A146" s="14">
        <v>45111</v>
      </c>
      <c r="B146" s="12">
        <v>82.55</v>
      </c>
      <c r="C146" s="15">
        <f t="shared" si="0"/>
        <v>52.832000000000001</v>
      </c>
    </row>
    <row r="147" spans="1:3" ht="15.75" customHeight="1" x14ac:dyDescent="0.35">
      <c r="A147" s="14">
        <v>45112</v>
      </c>
      <c r="B147" s="12">
        <v>88.02</v>
      </c>
      <c r="C147" s="15">
        <f t="shared" si="0"/>
        <v>56.332799999999999</v>
      </c>
    </row>
    <row r="148" spans="1:3" ht="15.75" customHeight="1" x14ac:dyDescent="0.35">
      <c r="A148" s="14">
        <v>45113</v>
      </c>
      <c r="B148" s="12">
        <v>88.79</v>
      </c>
      <c r="C148" s="15">
        <f t="shared" si="0"/>
        <v>56.825600000000009</v>
      </c>
    </row>
    <row r="149" spans="1:3" ht="15.75" customHeight="1" x14ac:dyDescent="0.35">
      <c r="A149" s="14">
        <v>45114</v>
      </c>
      <c r="B149" s="12">
        <v>88.79</v>
      </c>
      <c r="C149" s="15">
        <f t="shared" si="0"/>
        <v>56.825600000000009</v>
      </c>
    </row>
    <row r="150" spans="1:3" ht="15.75" customHeight="1" x14ac:dyDescent="0.35">
      <c r="A150" s="14">
        <v>45115</v>
      </c>
      <c r="B150" s="12">
        <v>86.78</v>
      </c>
      <c r="C150" s="15">
        <f t="shared" si="0"/>
        <v>55.539200000000001</v>
      </c>
    </row>
    <row r="151" spans="1:3" ht="15.75" customHeight="1" x14ac:dyDescent="0.35">
      <c r="A151" s="14">
        <v>45116</v>
      </c>
      <c r="B151" s="12">
        <v>33.770000000000003</v>
      </c>
      <c r="C151" s="15">
        <f t="shared" si="0"/>
        <v>21.612800000000004</v>
      </c>
    </row>
    <row r="152" spans="1:3" ht="15.75" customHeight="1" x14ac:dyDescent="0.35">
      <c r="A152" s="14">
        <v>45117</v>
      </c>
      <c r="B152" s="12">
        <v>79.38</v>
      </c>
      <c r="C152" s="15">
        <f t="shared" si="0"/>
        <v>50.803199999999997</v>
      </c>
    </row>
    <row r="153" spans="1:3" ht="15.75" customHeight="1" x14ac:dyDescent="0.35">
      <c r="A153" s="14">
        <v>45118</v>
      </c>
      <c r="B153" s="12">
        <v>76.98</v>
      </c>
      <c r="C153" s="15">
        <f t="shared" si="0"/>
        <v>49.267200000000003</v>
      </c>
    </row>
    <row r="154" spans="1:3" ht="15.75" customHeight="1" x14ac:dyDescent="0.35">
      <c r="A154" s="14">
        <v>45119</v>
      </c>
      <c r="B154" s="12">
        <v>79.540000000000006</v>
      </c>
      <c r="C154" s="15">
        <f t="shared" si="0"/>
        <v>50.905600000000007</v>
      </c>
    </row>
    <row r="155" spans="1:3" ht="15.75" customHeight="1" x14ac:dyDescent="0.35">
      <c r="A155" s="14">
        <v>45120</v>
      </c>
      <c r="B155" s="12">
        <v>88.57</v>
      </c>
      <c r="C155" s="15">
        <f t="shared" si="0"/>
        <v>56.684799999999996</v>
      </c>
    </row>
    <row r="156" spans="1:3" ht="15.75" customHeight="1" x14ac:dyDescent="0.35">
      <c r="A156" s="14">
        <v>45121</v>
      </c>
      <c r="B156" s="12">
        <v>47.69</v>
      </c>
      <c r="C156" s="15">
        <f t="shared" si="0"/>
        <v>30.521599999999999</v>
      </c>
    </row>
    <row r="157" spans="1:3" ht="15.75" customHeight="1" x14ac:dyDescent="0.35">
      <c r="A157" s="14">
        <v>45122</v>
      </c>
      <c r="B157" s="12">
        <v>91.91</v>
      </c>
      <c r="C157" s="15">
        <f t="shared" si="0"/>
        <v>58.822400000000002</v>
      </c>
    </row>
    <row r="158" spans="1:3" ht="15.75" customHeight="1" x14ac:dyDescent="0.35">
      <c r="A158" s="14">
        <v>45123</v>
      </c>
      <c r="B158" s="12">
        <v>91.91</v>
      </c>
      <c r="C158" s="15">
        <f t="shared" si="0"/>
        <v>58.822400000000002</v>
      </c>
    </row>
    <row r="159" spans="1:3" ht="15.75" customHeight="1" x14ac:dyDescent="0.35">
      <c r="A159" s="14">
        <v>45124</v>
      </c>
      <c r="B159" s="12">
        <v>87.02</v>
      </c>
      <c r="C159" s="15">
        <f t="shared" si="0"/>
        <v>55.692799999999998</v>
      </c>
    </row>
    <row r="160" spans="1:3" ht="15.75" customHeight="1" x14ac:dyDescent="0.35">
      <c r="A160" s="14">
        <v>45125</v>
      </c>
      <c r="B160" s="12">
        <v>37.65</v>
      </c>
      <c r="C160" s="15">
        <f t="shared" si="0"/>
        <v>24.096</v>
      </c>
    </row>
    <row r="161" spans="1:3" ht="15.75" customHeight="1" x14ac:dyDescent="0.35">
      <c r="A161" s="14">
        <v>45126</v>
      </c>
      <c r="B161" s="12">
        <v>54.14</v>
      </c>
      <c r="C161" s="15">
        <f t="shared" si="0"/>
        <v>34.6496</v>
      </c>
    </row>
    <row r="162" spans="1:3" ht="15.75" customHeight="1" x14ac:dyDescent="0.35">
      <c r="A162" s="14">
        <v>45127</v>
      </c>
      <c r="B162" s="12">
        <v>75.59</v>
      </c>
      <c r="C162" s="15">
        <f t="shared" si="0"/>
        <v>48.377600000000001</v>
      </c>
    </row>
    <row r="163" spans="1:3" ht="15.75" customHeight="1" x14ac:dyDescent="0.35">
      <c r="A163" s="14">
        <v>45128</v>
      </c>
      <c r="B163" s="12">
        <v>80.400000000000006</v>
      </c>
      <c r="C163" s="15">
        <f t="shared" si="0"/>
        <v>51.456000000000003</v>
      </c>
    </row>
    <row r="164" spans="1:3" ht="15.75" customHeight="1" x14ac:dyDescent="0.35">
      <c r="A164" s="14">
        <v>45129</v>
      </c>
      <c r="B164" s="12">
        <v>117.05</v>
      </c>
      <c r="C164" s="15">
        <f t="shared" si="0"/>
        <v>74.912000000000006</v>
      </c>
    </row>
    <row r="165" spans="1:3" ht="15.75" customHeight="1" x14ac:dyDescent="0.35">
      <c r="A165" s="14">
        <v>45130</v>
      </c>
      <c r="B165" s="12">
        <v>115.52</v>
      </c>
      <c r="C165" s="15">
        <f t="shared" si="0"/>
        <v>73.9328</v>
      </c>
    </row>
    <row r="166" spans="1:3" ht="15.75" customHeight="1" x14ac:dyDescent="0.35">
      <c r="A166" s="14">
        <v>45131</v>
      </c>
      <c r="B166" s="12">
        <v>113.92</v>
      </c>
      <c r="C166" s="15">
        <f t="shared" si="0"/>
        <v>72.908799999999999</v>
      </c>
    </row>
    <row r="167" spans="1:3" ht="15.75" customHeight="1" x14ac:dyDescent="0.35">
      <c r="A167" s="14">
        <v>45132</v>
      </c>
      <c r="B167" s="12">
        <v>39.380000000000003</v>
      </c>
      <c r="C167" s="15">
        <f t="shared" si="0"/>
        <v>25.203200000000002</v>
      </c>
    </row>
    <row r="168" spans="1:3" ht="15.75" customHeight="1" x14ac:dyDescent="0.35">
      <c r="A168" s="14">
        <v>45133</v>
      </c>
      <c r="B168" s="12">
        <v>113.59</v>
      </c>
      <c r="C168" s="15">
        <f t="shared" si="0"/>
        <v>72.697600000000008</v>
      </c>
    </row>
    <row r="169" spans="1:3" ht="15.75" customHeight="1" x14ac:dyDescent="0.35">
      <c r="A169" s="14">
        <v>45134</v>
      </c>
      <c r="B169" s="12">
        <v>136.80000000000001</v>
      </c>
      <c r="C169" s="15">
        <f t="shared" si="0"/>
        <v>87.552000000000007</v>
      </c>
    </row>
    <row r="170" spans="1:3" ht="15.75" customHeight="1" x14ac:dyDescent="0.35">
      <c r="A170" s="14">
        <v>45135</v>
      </c>
      <c r="B170" s="12">
        <v>131.97</v>
      </c>
      <c r="C170" s="15">
        <f t="shared" si="0"/>
        <v>84.460800000000006</v>
      </c>
    </row>
    <row r="171" spans="1:3" ht="15.75" customHeight="1" x14ac:dyDescent="0.35">
      <c r="A171" s="14">
        <v>45136</v>
      </c>
      <c r="B171" s="12">
        <v>66.790000000000006</v>
      </c>
      <c r="C171" s="15">
        <f t="shared" si="0"/>
        <v>42.745600000000003</v>
      </c>
    </row>
    <row r="172" spans="1:3" ht="15.75" customHeight="1" x14ac:dyDescent="0.35">
      <c r="A172" s="14">
        <v>45137</v>
      </c>
      <c r="B172" s="12">
        <v>77.59</v>
      </c>
      <c r="C172" s="15">
        <f t="shared" si="0"/>
        <v>49.657600000000002</v>
      </c>
    </row>
    <row r="173" spans="1:3" ht="15.75" customHeight="1" x14ac:dyDescent="0.35">
      <c r="A173" s="14">
        <v>45138</v>
      </c>
      <c r="B173" s="12">
        <v>153.71</v>
      </c>
      <c r="C173" s="15">
        <f t="shared" si="0"/>
        <v>98.374400000000009</v>
      </c>
    </row>
    <row r="174" spans="1:3" ht="15.75" customHeight="1" x14ac:dyDescent="0.35">
      <c r="A174" s="14">
        <v>45139</v>
      </c>
      <c r="B174" s="12">
        <v>114.59</v>
      </c>
      <c r="C174" s="15">
        <f t="shared" si="0"/>
        <v>73.337600000000009</v>
      </c>
    </row>
    <row r="175" spans="1:3" ht="15.75" customHeight="1" x14ac:dyDescent="0.35">
      <c r="A175" s="14">
        <v>45140</v>
      </c>
      <c r="B175" s="12">
        <v>158.31</v>
      </c>
      <c r="C175" s="15">
        <f t="shared" si="0"/>
        <v>101.3184</v>
      </c>
    </row>
    <row r="176" spans="1:3" ht="15.75" customHeight="1" x14ac:dyDescent="0.35">
      <c r="A176" s="14">
        <v>45141</v>
      </c>
      <c r="B176" s="12">
        <v>157.05000000000001</v>
      </c>
      <c r="C176" s="15">
        <f t="shared" si="0"/>
        <v>100.51200000000001</v>
      </c>
    </row>
    <row r="177" spans="1:3" ht="15.75" customHeight="1" x14ac:dyDescent="0.35">
      <c r="A177" s="14">
        <v>45142</v>
      </c>
      <c r="B177" s="12">
        <v>136</v>
      </c>
      <c r="C177" s="15">
        <f t="shared" si="0"/>
        <v>87.04</v>
      </c>
    </row>
    <row r="178" spans="1:3" ht="15.75" customHeight="1" x14ac:dyDescent="0.35">
      <c r="A178" s="14">
        <v>45143</v>
      </c>
      <c r="B178" s="12">
        <v>154.78</v>
      </c>
      <c r="C178" s="15">
        <f t="shared" si="0"/>
        <v>99.059200000000004</v>
      </c>
    </row>
    <row r="179" spans="1:3" ht="15.75" customHeight="1" x14ac:dyDescent="0.35">
      <c r="A179" s="14">
        <v>45144</v>
      </c>
      <c r="B179" s="12">
        <v>150.03</v>
      </c>
      <c r="C179" s="15">
        <f t="shared" si="0"/>
        <v>96.019199999999998</v>
      </c>
    </row>
    <row r="180" spans="1:3" ht="15.75" customHeight="1" x14ac:dyDescent="0.35">
      <c r="A180" s="14">
        <v>45145</v>
      </c>
      <c r="B180" s="12">
        <v>162.69999999999999</v>
      </c>
      <c r="C180" s="15">
        <f t="shared" si="0"/>
        <v>104.128</v>
      </c>
    </row>
    <row r="181" spans="1:3" ht="15.75" customHeight="1" x14ac:dyDescent="0.35">
      <c r="A181" s="14">
        <v>45146</v>
      </c>
      <c r="B181" s="12">
        <v>46</v>
      </c>
      <c r="C181" s="15">
        <f t="shared" si="0"/>
        <v>29.44</v>
      </c>
    </row>
    <row r="182" spans="1:3" ht="15.75" customHeight="1" x14ac:dyDescent="0.35">
      <c r="A182" s="14">
        <v>45147</v>
      </c>
      <c r="B182" s="12">
        <v>121.08</v>
      </c>
      <c r="C182" s="15">
        <f t="shared" si="0"/>
        <v>77.491200000000006</v>
      </c>
    </row>
    <row r="183" spans="1:3" ht="15.75" customHeight="1" x14ac:dyDescent="0.35">
      <c r="A183" s="14">
        <v>45148</v>
      </c>
      <c r="B183" s="12">
        <v>164.38</v>
      </c>
      <c r="C183" s="15">
        <f t="shared" si="0"/>
        <v>105.2032</v>
      </c>
    </row>
    <row r="184" spans="1:3" ht="15.75" customHeight="1" x14ac:dyDescent="0.35">
      <c r="A184" s="14">
        <v>45149</v>
      </c>
      <c r="B184" s="12">
        <v>165.42</v>
      </c>
      <c r="C184" s="15">
        <f t="shared" si="0"/>
        <v>105.86879999999999</v>
      </c>
    </row>
    <row r="185" spans="1:3" ht="15.75" customHeight="1" x14ac:dyDescent="0.35">
      <c r="A185" s="14">
        <v>45150</v>
      </c>
      <c r="B185" s="12">
        <v>152.82</v>
      </c>
      <c r="C185" s="15">
        <f t="shared" si="0"/>
        <v>97.8048</v>
      </c>
    </row>
    <row r="186" spans="1:3" ht="15.75" customHeight="1" x14ac:dyDescent="0.35">
      <c r="A186" s="14">
        <v>45151</v>
      </c>
      <c r="B186" s="12">
        <v>66.05</v>
      </c>
      <c r="C186" s="15">
        <f t="shared" si="0"/>
        <v>42.271999999999998</v>
      </c>
    </row>
    <row r="187" spans="1:3" ht="15.75" customHeight="1" x14ac:dyDescent="0.35">
      <c r="A187" s="14">
        <v>45152</v>
      </c>
      <c r="B187" s="12">
        <v>53.54</v>
      </c>
      <c r="C187" s="15">
        <f t="shared" si="0"/>
        <v>34.265599999999999</v>
      </c>
    </row>
    <row r="188" spans="1:3" ht="15.75" customHeight="1" x14ac:dyDescent="0.35">
      <c r="A188" s="14">
        <v>45153</v>
      </c>
      <c r="B188" s="12">
        <v>58.07</v>
      </c>
      <c r="C188" s="15">
        <f t="shared" si="0"/>
        <v>37.1648</v>
      </c>
    </row>
    <row r="189" spans="1:3" ht="15.75" customHeight="1" x14ac:dyDescent="0.35">
      <c r="A189" s="14">
        <v>45154</v>
      </c>
      <c r="C189" s="15"/>
    </row>
    <row r="190" spans="1:3" ht="15.75" customHeight="1" x14ac:dyDescent="0.35">
      <c r="A190" s="14">
        <v>45155</v>
      </c>
      <c r="C190" s="15"/>
    </row>
    <row r="191" spans="1:3" ht="15.75" customHeight="1" x14ac:dyDescent="0.35">
      <c r="A191" s="14">
        <v>45156</v>
      </c>
      <c r="C191" s="15"/>
    </row>
    <row r="192" spans="1:3" ht="15.75" customHeight="1" x14ac:dyDescent="0.35">
      <c r="A192" s="14">
        <v>45157</v>
      </c>
      <c r="C192" s="15"/>
    </row>
    <row r="193" spans="1:3" ht="15.75" customHeight="1" x14ac:dyDescent="0.35">
      <c r="A193" s="14">
        <v>45158</v>
      </c>
      <c r="C193" s="15"/>
    </row>
    <row r="194" spans="1:3" ht="15.75" customHeight="1" x14ac:dyDescent="0.35">
      <c r="A194" s="14">
        <v>45159</v>
      </c>
      <c r="C194" s="15"/>
    </row>
    <row r="195" spans="1:3" ht="15.75" customHeight="1" x14ac:dyDescent="0.35">
      <c r="A195" s="14">
        <v>45160</v>
      </c>
      <c r="C195" s="15"/>
    </row>
    <row r="196" spans="1:3" ht="15.75" customHeight="1" x14ac:dyDescent="0.35">
      <c r="A196" s="14">
        <v>45161</v>
      </c>
      <c r="C196" s="15"/>
    </row>
    <row r="197" spans="1:3" ht="15.75" customHeight="1" x14ac:dyDescent="0.35">
      <c r="A197" s="14">
        <v>45162</v>
      </c>
      <c r="C197" s="15"/>
    </row>
    <row r="198" spans="1:3" ht="15.75" customHeight="1" x14ac:dyDescent="0.35"/>
    <row r="199" spans="1:3" ht="15.75" customHeight="1" x14ac:dyDescent="0.35">
      <c r="B199" s="12">
        <f t="shared" ref="B199:C199" si="1">SUM(B3:B188)</f>
        <v>23155.359999999986</v>
      </c>
      <c r="C199" s="12">
        <f t="shared" si="1"/>
        <v>10520.645600000005</v>
      </c>
    </row>
    <row r="200" spans="1:3" ht="15.75" customHeight="1" x14ac:dyDescent="0.35"/>
    <row r="201" spans="1:3" ht="15.75" customHeight="1" x14ac:dyDescent="0.35">
      <c r="B201" s="12">
        <v>15033</v>
      </c>
      <c r="C201" s="12">
        <v>24569</v>
      </c>
    </row>
    <row r="202" spans="1:3" ht="15.75" customHeight="1" x14ac:dyDescent="0.35">
      <c r="B202" s="12">
        <v>32474</v>
      </c>
    </row>
    <row r="203" spans="1:3" ht="15.75" customHeight="1" x14ac:dyDescent="0.35"/>
    <row r="204" spans="1:3" ht="15.75" customHeight="1" x14ac:dyDescent="0.35"/>
    <row r="205" spans="1:3" ht="15.75" customHeight="1" x14ac:dyDescent="0.35"/>
    <row r="206" spans="1:3" ht="15.75" customHeight="1" x14ac:dyDescent="0.35"/>
    <row r="207" spans="1:3" ht="15.75" customHeight="1" x14ac:dyDescent="0.35"/>
    <row r="208" spans="1:3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AH1000"/>
  <sheetViews>
    <sheetView topLeftCell="A32" workbookViewId="0">
      <selection activeCell="Q46" sqref="Q46"/>
    </sheetView>
  </sheetViews>
  <sheetFormatPr defaultColWidth="14.453125" defaultRowHeight="15" customHeight="1" x14ac:dyDescent="0.35"/>
  <cols>
    <col min="1" max="1" width="17.26953125" customWidth="1"/>
    <col min="2" max="2" width="22.453125" customWidth="1"/>
    <col min="3" max="3" width="11.54296875" customWidth="1"/>
    <col min="4" max="4" width="10.54296875" customWidth="1"/>
    <col min="5" max="7" width="11.54296875" customWidth="1"/>
    <col min="8" max="10" width="14" customWidth="1"/>
    <col min="11" max="11" width="13.1796875" customWidth="1"/>
    <col min="12" max="19" width="14" customWidth="1"/>
    <col min="20" max="20" width="5.54296875" customWidth="1"/>
    <col min="21" max="23" width="14" customWidth="1"/>
    <col min="24" max="24" width="17.81640625" customWidth="1"/>
    <col min="25" max="25" width="14" customWidth="1"/>
    <col min="26" max="26" width="10.54296875" customWidth="1"/>
    <col min="27" max="27" width="8.54296875" customWidth="1"/>
    <col min="28" max="28" width="16" customWidth="1"/>
    <col min="29" max="29" width="8.7265625" customWidth="1"/>
    <col min="30" max="30" width="16" customWidth="1"/>
    <col min="31" max="34" width="8.7265625" customWidth="1"/>
  </cols>
  <sheetData>
    <row r="1" spans="1:34" ht="14.5" x14ac:dyDescent="0.35">
      <c r="A1" s="25"/>
      <c r="B1" s="26"/>
      <c r="C1" s="26" t="s">
        <v>68</v>
      </c>
      <c r="D1" s="26" t="s">
        <v>68</v>
      </c>
      <c r="E1" s="26" t="s">
        <v>68</v>
      </c>
      <c r="F1" s="26" t="s">
        <v>69</v>
      </c>
      <c r="G1" s="26" t="s">
        <v>69</v>
      </c>
      <c r="H1" s="26" t="s">
        <v>70</v>
      </c>
      <c r="I1" s="26" t="s">
        <v>70</v>
      </c>
      <c r="J1" s="27" t="s">
        <v>70</v>
      </c>
      <c r="L1" s="26" t="s">
        <v>71</v>
      </c>
      <c r="M1" s="26" t="s">
        <v>71</v>
      </c>
      <c r="N1" s="26" t="s">
        <v>71</v>
      </c>
      <c r="O1" s="26" t="s">
        <v>71</v>
      </c>
      <c r="P1" s="26" t="s">
        <v>72</v>
      </c>
      <c r="Q1" s="26" t="s">
        <v>72</v>
      </c>
      <c r="R1" s="26" t="s">
        <v>72</v>
      </c>
      <c r="S1" s="26" t="s">
        <v>72</v>
      </c>
      <c r="U1" s="26" t="s">
        <v>73</v>
      </c>
      <c r="V1" s="26" t="s">
        <v>73</v>
      </c>
      <c r="W1" s="26" t="s">
        <v>73</v>
      </c>
      <c r="X1" s="26" t="s">
        <v>73</v>
      </c>
      <c r="Z1" s="26" t="s">
        <v>74</v>
      </c>
      <c r="AA1" s="26" t="s">
        <v>74</v>
      </c>
      <c r="AB1" s="26" t="s">
        <v>74</v>
      </c>
      <c r="AC1" s="26" t="s">
        <v>74</v>
      </c>
    </row>
    <row r="2" spans="1:34" ht="14.5" x14ac:dyDescent="0.35">
      <c r="A2" s="28" t="s">
        <v>75</v>
      </c>
      <c r="B2" s="29" t="s">
        <v>55</v>
      </c>
      <c r="C2" s="29" t="s">
        <v>76</v>
      </c>
      <c r="D2" s="29" t="s">
        <v>77</v>
      </c>
      <c r="E2" s="29" t="s">
        <v>78</v>
      </c>
      <c r="F2" s="29" t="s">
        <v>76</v>
      </c>
      <c r="G2" s="29" t="s">
        <v>77</v>
      </c>
      <c r="H2" s="29" t="s">
        <v>76</v>
      </c>
      <c r="I2" s="29" t="s">
        <v>77</v>
      </c>
      <c r="J2" s="30" t="s">
        <v>78</v>
      </c>
      <c r="L2" s="29" t="s">
        <v>79</v>
      </c>
      <c r="M2" s="29" t="s">
        <v>80</v>
      </c>
      <c r="N2" s="29" t="s">
        <v>81</v>
      </c>
      <c r="O2" s="29" t="s">
        <v>82</v>
      </c>
      <c r="P2" s="29" t="s">
        <v>79</v>
      </c>
      <c r="Q2" s="29" t="s">
        <v>80</v>
      </c>
      <c r="R2" s="29" t="s">
        <v>81</v>
      </c>
      <c r="S2" s="29" t="s">
        <v>82</v>
      </c>
      <c r="U2" s="29" t="s">
        <v>79</v>
      </c>
      <c r="V2" s="29" t="s">
        <v>80</v>
      </c>
      <c r="W2" s="29" t="s">
        <v>81</v>
      </c>
      <c r="X2" s="29" t="s">
        <v>82</v>
      </c>
      <c r="Z2" s="29" t="s">
        <v>79</v>
      </c>
      <c r="AA2" s="29" t="s">
        <v>80</v>
      </c>
      <c r="AB2" s="29" t="s">
        <v>81</v>
      </c>
      <c r="AC2" s="29" t="s">
        <v>82</v>
      </c>
    </row>
    <row r="3" spans="1:34" ht="14.5" x14ac:dyDescent="0.35">
      <c r="A3" s="31">
        <v>44927</v>
      </c>
      <c r="B3" s="32" t="s">
        <v>83</v>
      </c>
      <c r="C3" s="32"/>
      <c r="D3" s="32">
        <v>3195</v>
      </c>
      <c r="E3" s="32">
        <f t="shared" ref="E3:E45" si="0">D3+C3</f>
        <v>3195</v>
      </c>
      <c r="F3" s="32"/>
      <c r="G3" s="32">
        <f>'Faturamento 281'!I2</f>
        <v>67</v>
      </c>
      <c r="H3" s="32">
        <f t="shared" ref="H3:I3" si="1">C3-F3</f>
        <v>0</v>
      </c>
      <c r="I3" s="32">
        <f t="shared" si="1"/>
        <v>3128</v>
      </c>
      <c r="J3" s="33">
        <f t="shared" ref="J3:J45" si="2">SUM(H3:I3)</f>
        <v>3128</v>
      </c>
      <c r="L3" s="34"/>
      <c r="M3" s="34"/>
      <c r="N3" s="34"/>
      <c r="O3" s="34"/>
      <c r="P3" s="34"/>
      <c r="Q3" s="34"/>
      <c r="R3" s="34"/>
      <c r="S3" s="34"/>
      <c r="U3" s="35"/>
      <c r="V3" s="35"/>
      <c r="W3" s="35"/>
      <c r="X3" s="35"/>
      <c r="Z3" s="35"/>
      <c r="AA3" s="35"/>
      <c r="AB3" s="35"/>
      <c r="AC3" s="35"/>
    </row>
    <row r="4" spans="1:34" ht="14.5" x14ac:dyDescent="0.35">
      <c r="A4" s="31">
        <v>44958</v>
      </c>
      <c r="B4" s="32" t="s">
        <v>84</v>
      </c>
      <c r="C4" s="32"/>
      <c r="D4" s="32">
        <v>3310</v>
      </c>
      <c r="E4" s="32">
        <f t="shared" si="0"/>
        <v>3310</v>
      </c>
      <c r="F4" s="32"/>
      <c r="G4" s="32">
        <f>'Faturamento 281'!I3</f>
        <v>62</v>
      </c>
      <c r="H4" s="32">
        <f t="shared" ref="H4:I4" si="3">C4-F4</f>
        <v>0</v>
      </c>
      <c r="I4" s="32">
        <f t="shared" si="3"/>
        <v>3248</v>
      </c>
      <c r="J4" s="33">
        <f t="shared" si="2"/>
        <v>3248</v>
      </c>
      <c r="L4" s="34"/>
      <c r="M4" s="34"/>
      <c r="N4" s="34"/>
      <c r="O4" s="34"/>
      <c r="P4" s="34"/>
      <c r="Q4" s="34"/>
      <c r="R4" s="34"/>
      <c r="S4" s="34"/>
      <c r="U4" s="35"/>
      <c r="V4" s="35"/>
      <c r="W4" s="35"/>
      <c r="X4" s="35"/>
      <c r="Z4" s="35"/>
      <c r="AA4" s="35"/>
      <c r="AB4" s="35"/>
      <c r="AC4" s="35"/>
    </row>
    <row r="5" spans="1:34" ht="14.5" x14ac:dyDescent="0.35">
      <c r="A5" s="31">
        <v>44986</v>
      </c>
      <c r="B5" s="32" t="s">
        <v>85</v>
      </c>
      <c r="C5" s="32">
        <v>12784</v>
      </c>
      <c r="D5" s="32">
        <v>3512</v>
      </c>
      <c r="E5" s="32">
        <f t="shared" si="0"/>
        <v>16296</v>
      </c>
      <c r="F5" s="32">
        <f>'Faturamento 235'!M4</f>
        <v>289</v>
      </c>
      <c r="G5" s="32">
        <f>'Faturamento 281'!I4</f>
        <v>78</v>
      </c>
      <c r="H5" s="32">
        <f t="shared" ref="H5:I5" si="4">C5-F5</f>
        <v>12495</v>
      </c>
      <c r="I5" s="32">
        <f t="shared" si="4"/>
        <v>3434</v>
      </c>
      <c r="J5" s="33">
        <f t="shared" si="2"/>
        <v>15929</v>
      </c>
      <c r="L5" s="34">
        <v>0.46</v>
      </c>
      <c r="M5" s="34">
        <v>0.54</v>
      </c>
      <c r="N5" s="34"/>
      <c r="O5" s="34"/>
      <c r="P5" s="34"/>
      <c r="Q5" s="34"/>
      <c r="R5" s="34"/>
      <c r="S5" s="34"/>
      <c r="U5" s="35">
        <f t="shared" ref="U5:X5" si="5">L5*$H5+P5*$I5</f>
        <v>5747.7</v>
      </c>
      <c r="V5" s="35">
        <f t="shared" si="5"/>
        <v>6747.3</v>
      </c>
      <c r="W5" s="35">
        <f t="shared" si="5"/>
        <v>0</v>
      </c>
      <c r="X5" s="35">
        <f t="shared" si="5"/>
        <v>0</v>
      </c>
      <c r="Z5" s="35">
        <f>U5-'Faturamento Itaipu'!G2</f>
        <v>2616.6999999999998</v>
      </c>
      <c r="AA5" s="35">
        <f>V5-'Faturamento Icaraí'!J2</f>
        <v>5097.3</v>
      </c>
      <c r="AB5" s="35"/>
      <c r="AC5" s="35"/>
      <c r="AD5" s="7"/>
      <c r="AH5" s="36"/>
    </row>
    <row r="6" spans="1:34" ht="14.5" x14ac:dyDescent="0.35">
      <c r="A6" s="31">
        <v>45017</v>
      </c>
      <c r="B6" s="32" t="s">
        <v>86</v>
      </c>
      <c r="C6" s="32">
        <v>2798</v>
      </c>
      <c r="D6" s="32">
        <v>2706</v>
      </c>
      <c r="E6" s="32">
        <f t="shared" si="0"/>
        <v>5504</v>
      </c>
      <c r="F6" s="32">
        <f>'Faturamento 235'!M5</f>
        <v>737</v>
      </c>
      <c r="G6" s="37">
        <f>'Faturamento 281'!I5</f>
        <v>22</v>
      </c>
      <c r="H6" s="32">
        <f t="shared" ref="H6:I6" si="6">C6-F6</f>
        <v>2061</v>
      </c>
      <c r="I6" s="37">
        <f t="shared" si="6"/>
        <v>2684</v>
      </c>
      <c r="J6" s="33">
        <f t="shared" si="2"/>
        <v>4745</v>
      </c>
      <c r="L6" s="34">
        <v>0.46</v>
      </c>
      <c r="M6" s="34">
        <v>0.54</v>
      </c>
      <c r="N6" s="34"/>
      <c r="O6" s="34"/>
      <c r="P6" s="34">
        <v>0.46</v>
      </c>
      <c r="Q6" s="34">
        <v>0.54</v>
      </c>
      <c r="R6" s="34"/>
      <c r="S6" s="34"/>
      <c r="U6" s="35">
        <f t="shared" ref="U6:X6" si="7">L6*$H6+P6*$I6</f>
        <v>2182.7000000000003</v>
      </c>
      <c r="V6" s="35">
        <f t="shared" si="7"/>
        <v>2562.3000000000002</v>
      </c>
      <c r="W6" s="35">
        <f t="shared" si="7"/>
        <v>0</v>
      </c>
      <c r="X6" s="35">
        <f t="shared" si="7"/>
        <v>0</v>
      </c>
      <c r="Z6" s="35">
        <f>MAX(U6-'Faturamento Itaipu'!G3+Z5,0)</f>
        <v>2329.4</v>
      </c>
      <c r="AA6" s="35">
        <f>MAX(V6-'Faturamento Icaraí'!J3+AA5,0)</f>
        <v>6349.6</v>
      </c>
      <c r="AB6" s="35"/>
      <c r="AC6" s="35"/>
      <c r="AD6" s="7"/>
      <c r="AH6" s="36"/>
    </row>
    <row r="7" spans="1:34" ht="14.5" x14ac:dyDescent="0.35">
      <c r="A7" s="31">
        <v>45047</v>
      </c>
      <c r="B7" s="32" t="s">
        <v>99</v>
      </c>
      <c r="C7" s="32">
        <v>2319</v>
      </c>
      <c r="D7" s="32">
        <v>2258</v>
      </c>
      <c r="E7" s="32">
        <f t="shared" si="0"/>
        <v>4577</v>
      </c>
      <c r="F7" s="32">
        <f>'Faturamento 235'!M6</f>
        <v>853</v>
      </c>
      <c r="G7" s="37">
        <f>'Faturamento 281'!I6</f>
        <v>8</v>
      </c>
      <c r="H7" s="32">
        <f t="shared" ref="H7:I7" si="8">C7-F7</f>
        <v>1466</v>
      </c>
      <c r="I7" s="37">
        <f t="shared" si="8"/>
        <v>2250</v>
      </c>
      <c r="J7" s="33">
        <f t="shared" si="2"/>
        <v>3716</v>
      </c>
      <c r="L7" s="34">
        <v>0.46</v>
      </c>
      <c r="M7" s="34">
        <v>0.54</v>
      </c>
      <c r="N7" s="34"/>
      <c r="O7" s="34"/>
      <c r="P7" s="34">
        <v>0.46</v>
      </c>
      <c r="Q7" s="34">
        <v>0.54</v>
      </c>
      <c r="R7" s="34"/>
      <c r="S7" s="34"/>
      <c r="U7" s="35">
        <f t="shared" ref="U7:X7" si="9">L7*$H7+P7*$I7</f>
        <v>1709.3600000000001</v>
      </c>
      <c r="V7" s="35">
        <f t="shared" si="9"/>
        <v>2006.64</v>
      </c>
      <c r="W7" s="35">
        <f t="shared" si="9"/>
        <v>0</v>
      </c>
      <c r="X7" s="35">
        <f t="shared" si="9"/>
        <v>0</v>
      </c>
      <c r="Z7" s="35">
        <f>MAX(U7-'Faturamento Itaipu'!G4+Z6,0)</f>
        <v>1396.7600000000002</v>
      </c>
      <c r="AA7" s="35">
        <f>MAX(V7-'Faturamento Icaraí'!J4+AA6,0)</f>
        <v>7166.2400000000007</v>
      </c>
      <c r="AB7" s="35"/>
      <c r="AC7" s="35"/>
      <c r="AD7" s="7"/>
      <c r="AH7" s="36"/>
    </row>
    <row r="8" spans="1:34" ht="14.5" x14ac:dyDescent="0.35">
      <c r="A8" s="31">
        <v>45078</v>
      </c>
      <c r="B8" s="32" t="s">
        <v>111</v>
      </c>
      <c r="C8" s="32">
        <v>1946</v>
      </c>
      <c r="D8" s="32">
        <v>1888</v>
      </c>
      <c r="E8" s="32">
        <f t="shared" si="0"/>
        <v>3834</v>
      </c>
      <c r="F8" s="32">
        <f>'Faturamento 235'!M7</f>
        <v>464</v>
      </c>
      <c r="G8" s="32">
        <f>'Faturamento 281'!I7</f>
        <v>0</v>
      </c>
      <c r="H8" s="32">
        <f t="shared" ref="H8:I8" si="10">C8-F8</f>
        <v>1482</v>
      </c>
      <c r="I8" s="32">
        <f t="shared" si="10"/>
        <v>1888</v>
      </c>
      <c r="J8" s="33">
        <f t="shared" si="2"/>
        <v>3370</v>
      </c>
      <c r="L8" s="34">
        <v>0.46</v>
      </c>
      <c r="M8" s="34">
        <v>0.54</v>
      </c>
      <c r="N8" s="34"/>
      <c r="O8" s="34"/>
      <c r="P8" s="34">
        <v>0.46</v>
      </c>
      <c r="Q8" s="34">
        <v>0.54</v>
      </c>
      <c r="R8" s="34"/>
      <c r="S8" s="34"/>
      <c r="U8" s="35">
        <f t="shared" ref="U8:X8" si="11">L8*$H8+P8*$I8</f>
        <v>1550.2</v>
      </c>
      <c r="V8" s="35">
        <f t="shared" si="11"/>
        <v>1819.8000000000002</v>
      </c>
      <c r="W8" s="35">
        <f t="shared" si="11"/>
        <v>0</v>
      </c>
      <c r="X8" s="35">
        <f t="shared" si="11"/>
        <v>0</v>
      </c>
      <c r="Z8" s="35">
        <f>MAX(U8-'Faturamento Itaipu'!G5+Z7,0)</f>
        <v>611.96000000000026</v>
      </c>
      <c r="AA8" s="35">
        <f>MAX(V8-'Faturamento Icaraí'!J5+AA7,0)</f>
        <v>7986.0400000000009</v>
      </c>
      <c r="AB8" s="35"/>
      <c r="AC8" s="35"/>
      <c r="AD8" s="7"/>
      <c r="AH8" s="36"/>
    </row>
    <row r="9" spans="1:34" ht="14.5" x14ac:dyDescent="0.35">
      <c r="A9" s="31">
        <v>45108</v>
      </c>
      <c r="B9" s="32" t="s">
        <v>112</v>
      </c>
      <c r="C9" s="32">
        <v>1533</v>
      </c>
      <c r="D9" s="32">
        <v>1593</v>
      </c>
      <c r="E9" s="32">
        <f t="shared" si="0"/>
        <v>3126</v>
      </c>
      <c r="F9" s="32">
        <f>'Faturamento 235'!M8</f>
        <v>412</v>
      </c>
      <c r="G9" s="32">
        <f>'Faturamento 281'!I8</f>
        <v>0</v>
      </c>
      <c r="H9" s="32">
        <f t="shared" ref="H9:I9" si="12">C9-F9</f>
        <v>1121</v>
      </c>
      <c r="I9" s="32">
        <f t="shared" si="12"/>
        <v>1593</v>
      </c>
      <c r="J9" s="33">
        <f t="shared" si="2"/>
        <v>2714</v>
      </c>
      <c r="L9" s="34">
        <v>0.46</v>
      </c>
      <c r="M9" s="34">
        <v>0.54</v>
      </c>
      <c r="N9" s="34"/>
      <c r="O9" s="34"/>
      <c r="P9" s="34">
        <v>0.46</v>
      </c>
      <c r="Q9" s="34">
        <v>0.54</v>
      </c>
      <c r="R9" s="34"/>
      <c r="S9" s="34"/>
      <c r="U9" s="35">
        <f t="shared" ref="U9:X9" si="13">L9*$H9+P9*$I9</f>
        <v>1248.44</v>
      </c>
      <c r="V9" s="35">
        <f t="shared" si="13"/>
        <v>1465.56</v>
      </c>
      <c r="W9" s="35">
        <f t="shared" si="13"/>
        <v>0</v>
      </c>
      <c r="X9" s="35">
        <f t="shared" si="13"/>
        <v>0</v>
      </c>
      <c r="Z9" s="35">
        <f>MAX(U9-'Faturamento Itaipu'!G6+Z8,0)</f>
        <v>79.400000000000318</v>
      </c>
      <c r="AA9" s="35">
        <f>MAX(V9-'Faturamento Icaraí'!J6+AA8,0)</f>
        <v>8461.6</v>
      </c>
      <c r="AB9" s="35"/>
      <c r="AC9" s="35"/>
      <c r="AD9" s="7"/>
    </row>
    <row r="10" spans="1:34" ht="14.5" x14ac:dyDescent="0.35">
      <c r="A10" s="31">
        <v>45139</v>
      </c>
      <c r="B10" s="32" t="s">
        <v>113</v>
      </c>
      <c r="C10" s="32">
        <v>2894</v>
      </c>
      <c r="D10" s="32">
        <v>2045</v>
      </c>
      <c r="E10" s="32">
        <f t="shared" si="0"/>
        <v>4939</v>
      </c>
      <c r="F10" s="32">
        <f>'Faturamento 235'!M9</f>
        <v>292</v>
      </c>
      <c r="G10" s="32">
        <f>'Faturamento 281'!I9</f>
        <v>0</v>
      </c>
      <c r="H10" s="32">
        <f t="shared" ref="H10:I10" si="14">C10-F10</f>
        <v>2602</v>
      </c>
      <c r="I10" s="32">
        <f t="shared" si="14"/>
        <v>2045</v>
      </c>
      <c r="J10" s="33">
        <f t="shared" si="2"/>
        <v>4647</v>
      </c>
      <c r="L10" s="34">
        <v>0.95</v>
      </c>
      <c r="M10" s="34">
        <v>0.05</v>
      </c>
      <c r="N10" s="34"/>
      <c r="O10" s="34"/>
      <c r="P10" s="34">
        <v>0.95</v>
      </c>
      <c r="Q10" s="34">
        <v>0.05</v>
      </c>
      <c r="R10" s="34"/>
      <c r="S10" s="34"/>
      <c r="U10" s="35">
        <f t="shared" ref="U10:X10" si="15">L10*$H10+P10*$I10</f>
        <v>4414.6499999999996</v>
      </c>
      <c r="V10" s="35">
        <f t="shared" si="15"/>
        <v>232.35</v>
      </c>
      <c r="W10" s="35">
        <f t="shared" si="15"/>
        <v>0</v>
      </c>
      <c r="X10" s="35">
        <f t="shared" si="15"/>
        <v>0</v>
      </c>
      <c r="Z10" s="35">
        <f>MAX(U10-'Faturamento Itaipu'!G7+Z9,0)</f>
        <v>1993.05</v>
      </c>
      <c r="AA10" s="35">
        <f>MAX(V10-'Faturamento Icaraí'!J7+AA9,0)</f>
        <v>7643.9500000000007</v>
      </c>
      <c r="AB10" s="35"/>
      <c r="AC10" s="35"/>
      <c r="AD10" s="7"/>
    </row>
    <row r="11" spans="1:34" ht="14.5" x14ac:dyDescent="0.35">
      <c r="A11" s="31">
        <v>45170</v>
      </c>
      <c r="B11" s="45" t="s">
        <v>114</v>
      </c>
      <c r="C11" s="32">
        <v>4100</v>
      </c>
      <c r="D11" s="32">
        <v>2237</v>
      </c>
      <c r="E11" s="32">
        <f t="shared" si="0"/>
        <v>6337</v>
      </c>
      <c r="F11" s="32">
        <f>'Faturamento 235'!M10</f>
        <v>601</v>
      </c>
      <c r="G11" s="32">
        <f>'Faturamento 281'!I10</f>
        <v>0</v>
      </c>
      <c r="H11" s="32">
        <f t="shared" ref="H11:I11" si="16">C11-F11</f>
        <v>3499</v>
      </c>
      <c r="I11" s="32">
        <f t="shared" si="16"/>
        <v>2237</v>
      </c>
      <c r="J11" s="33">
        <f t="shared" si="2"/>
        <v>5736</v>
      </c>
      <c r="L11" s="34">
        <v>0.95</v>
      </c>
      <c r="M11" s="34">
        <v>0.05</v>
      </c>
      <c r="N11" s="34"/>
      <c r="O11" s="34"/>
      <c r="P11" s="34">
        <v>0.95</v>
      </c>
      <c r="Q11" s="34">
        <v>0.05</v>
      </c>
      <c r="R11" s="34"/>
      <c r="S11" s="34"/>
      <c r="U11" s="35">
        <f t="shared" ref="U11:X11" si="17">L11*$H11+P11*$I11</f>
        <v>5449.2</v>
      </c>
      <c r="V11" s="35">
        <f t="shared" si="17"/>
        <v>286.8</v>
      </c>
      <c r="W11" s="35">
        <f t="shared" si="17"/>
        <v>0</v>
      </c>
      <c r="X11" s="35">
        <f t="shared" si="17"/>
        <v>0</v>
      </c>
      <c r="Z11" s="35">
        <f>MAX(U11-'Faturamento Itaipu'!G8+Z10,0)</f>
        <v>4655.25</v>
      </c>
      <c r="AA11" s="35">
        <f>MAX(V11-'Faturamento Icaraí'!J8+AA10,0)</f>
        <v>6820.7500000000009</v>
      </c>
      <c r="AB11" s="35"/>
      <c r="AC11" s="35"/>
      <c r="AD11" s="7"/>
    </row>
    <row r="12" spans="1:34" ht="14.5" x14ac:dyDescent="0.35">
      <c r="A12" s="31">
        <v>45200</v>
      </c>
      <c r="B12" s="45" t="s">
        <v>115</v>
      </c>
      <c r="C12" s="32">
        <v>4772</v>
      </c>
      <c r="D12" s="32">
        <v>2916</v>
      </c>
      <c r="E12" s="32">
        <f t="shared" si="0"/>
        <v>7688</v>
      </c>
      <c r="F12" s="32">
        <f>'Faturamento 235'!M11</f>
        <v>589</v>
      </c>
      <c r="G12" s="32">
        <f>'Faturamento 281'!I11</f>
        <v>23</v>
      </c>
      <c r="H12" s="32">
        <f t="shared" ref="H12:I12" si="18">C12-F12</f>
        <v>4183</v>
      </c>
      <c r="I12" s="32">
        <f t="shared" si="18"/>
        <v>2893</v>
      </c>
      <c r="J12" s="33">
        <f t="shared" si="2"/>
        <v>7076</v>
      </c>
      <c r="K12" s="21"/>
      <c r="L12" s="34">
        <v>0.95</v>
      </c>
      <c r="M12" s="34">
        <v>0.05</v>
      </c>
      <c r="N12" s="34"/>
      <c r="O12" s="34"/>
      <c r="P12" s="34">
        <v>0.95</v>
      </c>
      <c r="Q12" s="34">
        <v>0.05</v>
      </c>
      <c r="R12" s="34"/>
      <c r="S12" s="34"/>
      <c r="U12" s="35">
        <f t="shared" ref="U12:X12" si="19">L12*$H12+P12*$I12</f>
        <v>6722.2</v>
      </c>
      <c r="V12" s="35">
        <f t="shared" si="19"/>
        <v>353.8</v>
      </c>
      <c r="W12" s="35">
        <f t="shared" si="19"/>
        <v>0</v>
      </c>
      <c r="X12" s="35">
        <f t="shared" si="19"/>
        <v>0</v>
      </c>
      <c r="Z12" s="35">
        <f>MAX(U12-'Faturamento Itaipu'!G9+Z11,0)</f>
        <v>8510.4500000000007</v>
      </c>
      <c r="AA12" s="35">
        <f>MAX(V12-'Faturamento Icaraí'!J9+AA11,0)</f>
        <v>6134.5500000000011</v>
      </c>
      <c r="AB12" s="35"/>
      <c r="AC12" s="35"/>
      <c r="AD12" s="7"/>
    </row>
    <row r="13" spans="1:34" ht="14.5" x14ac:dyDescent="0.35">
      <c r="A13" s="31">
        <v>45231</v>
      </c>
      <c r="B13" s="45" t="s">
        <v>116</v>
      </c>
      <c r="C13" s="32">
        <v>5134</v>
      </c>
      <c r="D13" s="32">
        <v>3012</v>
      </c>
      <c r="E13" s="32">
        <f t="shared" si="0"/>
        <v>8146</v>
      </c>
      <c r="F13" s="32">
        <f>'Faturamento 235'!M12</f>
        <v>540</v>
      </c>
      <c r="G13" s="32">
        <f>'Faturamento 281'!I12</f>
        <v>0</v>
      </c>
      <c r="H13" s="32">
        <f t="shared" ref="H13:I13" si="20">C13-F13</f>
        <v>4594</v>
      </c>
      <c r="I13" s="32">
        <f t="shared" si="20"/>
        <v>3012</v>
      </c>
      <c r="J13" s="33">
        <f t="shared" si="2"/>
        <v>7606</v>
      </c>
      <c r="K13" s="21"/>
      <c r="L13" s="34">
        <v>0.95</v>
      </c>
      <c r="M13" s="34">
        <v>0.05</v>
      </c>
      <c r="N13" s="34"/>
      <c r="O13" s="34"/>
      <c r="P13" s="34">
        <v>0.95</v>
      </c>
      <c r="Q13" s="34">
        <v>0.05</v>
      </c>
      <c r="R13" s="34"/>
      <c r="S13" s="34"/>
      <c r="U13" s="35">
        <f t="shared" ref="U13:X13" si="21">L13*$H13+P13*$I13</f>
        <v>7225.7000000000007</v>
      </c>
      <c r="V13" s="35">
        <f t="shared" si="21"/>
        <v>380.3</v>
      </c>
      <c r="W13" s="35">
        <f t="shared" si="21"/>
        <v>0</v>
      </c>
      <c r="X13" s="35">
        <f t="shared" si="21"/>
        <v>0</v>
      </c>
      <c r="Z13" s="35">
        <f>MAX(U13-'Faturamento Itaipu'!G10+Z12,0)</f>
        <v>13125.150000000001</v>
      </c>
      <c r="AA13" s="35">
        <f>MAX(V13-'Faturamento Icaraí'!J10+AA12,0)</f>
        <v>5004.8500000000013</v>
      </c>
      <c r="AB13" s="35"/>
      <c r="AC13" s="35"/>
      <c r="AD13" s="7"/>
      <c r="AE13" s="7"/>
    </row>
    <row r="14" spans="1:34" ht="14.5" x14ac:dyDescent="0.35">
      <c r="A14" s="31">
        <v>45261</v>
      </c>
      <c r="B14" s="45" t="s">
        <v>117</v>
      </c>
      <c r="C14" s="32">
        <v>4320</v>
      </c>
      <c r="D14" s="32">
        <v>2593</v>
      </c>
      <c r="E14" s="32">
        <f t="shared" si="0"/>
        <v>6913</v>
      </c>
      <c r="F14" s="32">
        <f>'Faturamento 235'!M13</f>
        <v>461</v>
      </c>
      <c r="G14" s="32">
        <f>'Faturamento 281'!I13</f>
        <v>41</v>
      </c>
      <c r="H14" s="32">
        <f t="shared" ref="H14:I14" si="22">C14-F14</f>
        <v>3859</v>
      </c>
      <c r="I14" s="32">
        <f t="shared" si="22"/>
        <v>2552</v>
      </c>
      <c r="J14" s="33">
        <f t="shared" si="2"/>
        <v>6411</v>
      </c>
      <c r="K14" s="21"/>
      <c r="L14" s="34">
        <v>0.95</v>
      </c>
      <c r="M14" s="34">
        <v>0.05</v>
      </c>
      <c r="N14" s="34"/>
      <c r="O14" s="34"/>
      <c r="P14" s="34">
        <v>0.95</v>
      </c>
      <c r="Q14" s="34">
        <v>0.05</v>
      </c>
      <c r="R14" s="34"/>
      <c r="S14" s="34"/>
      <c r="U14" s="35">
        <f t="shared" ref="U14:X14" si="23">L14*$H14+P14*$I14</f>
        <v>6090.45</v>
      </c>
      <c r="V14" s="35">
        <f t="shared" si="23"/>
        <v>320.55</v>
      </c>
      <c r="W14" s="35">
        <f t="shared" si="23"/>
        <v>0</v>
      </c>
      <c r="X14" s="35">
        <f t="shared" si="23"/>
        <v>0</v>
      </c>
      <c r="Z14" s="35">
        <f>MAX(U14-'Faturamento Itaipu'!G11+Z13,0)</f>
        <v>16740.600000000002</v>
      </c>
      <c r="AA14" s="35">
        <f>MAX(V14-'Faturamento Icaraí'!J11+AA13,0)</f>
        <v>4045.4000000000015</v>
      </c>
      <c r="AB14" s="35"/>
      <c r="AC14" s="35"/>
      <c r="AD14" s="7"/>
    </row>
    <row r="15" spans="1:34" ht="14.5" x14ac:dyDescent="0.35">
      <c r="A15" s="31">
        <v>45292</v>
      </c>
      <c r="B15" s="45" t="s">
        <v>118</v>
      </c>
      <c r="C15" s="32">
        <v>2374</v>
      </c>
      <c r="D15" s="32">
        <v>4133</v>
      </c>
      <c r="E15" s="32">
        <f t="shared" si="0"/>
        <v>6507</v>
      </c>
      <c r="F15" s="32">
        <f>'Faturamento 235'!M14</f>
        <v>0</v>
      </c>
      <c r="G15" s="32">
        <f>'Faturamento 281'!I14</f>
        <v>0</v>
      </c>
      <c r="H15" s="32">
        <f t="shared" ref="H15:I15" si="24">C15-F15</f>
        <v>2374</v>
      </c>
      <c r="I15" s="32">
        <f t="shared" si="24"/>
        <v>4133</v>
      </c>
      <c r="J15" s="33">
        <f t="shared" si="2"/>
        <v>6507</v>
      </c>
      <c r="K15" s="21"/>
      <c r="L15" s="34">
        <v>0.95</v>
      </c>
      <c r="M15" s="34">
        <v>0.05</v>
      </c>
      <c r="N15" s="34"/>
      <c r="O15" s="34"/>
      <c r="P15" s="34">
        <v>0.95</v>
      </c>
      <c r="Q15" s="34">
        <v>0.05</v>
      </c>
      <c r="R15" s="34"/>
      <c r="S15" s="34"/>
      <c r="U15" s="35">
        <f t="shared" ref="U15:X15" si="25">L15*$H15+P15*$I15</f>
        <v>6181.65</v>
      </c>
      <c r="V15" s="35">
        <f t="shared" si="25"/>
        <v>325.35000000000002</v>
      </c>
      <c r="W15" s="35">
        <f t="shared" si="25"/>
        <v>0</v>
      </c>
      <c r="X15" s="35">
        <f t="shared" si="25"/>
        <v>0</v>
      </c>
      <c r="Z15" s="35">
        <f>MAX(U15-'Faturamento Itaipu'!G12+Z14,0)</f>
        <v>19984.25</v>
      </c>
      <c r="AA15" s="35">
        <f>MAX(V15-'Faturamento Icaraí'!J12+AA14,0)</f>
        <v>2692.7500000000014</v>
      </c>
      <c r="AB15" s="35"/>
      <c r="AC15" s="35"/>
    </row>
    <row r="16" spans="1:34" ht="14.5" x14ac:dyDescent="0.35">
      <c r="A16" s="31">
        <v>45323</v>
      </c>
      <c r="B16" s="45" t="s">
        <v>119</v>
      </c>
      <c r="C16" s="32">
        <v>6875</v>
      </c>
      <c r="D16" s="32">
        <v>3560</v>
      </c>
      <c r="E16" s="32">
        <f t="shared" si="0"/>
        <v>10435</v>
      </c>
      <c r="F16" s="32">
        <f>'Faturamento 235'!M15</f>
        <v>126</v>
      </c>
      <c r="G16" s="32">
        <f>'Faturamento 281'!I15</f>
        <v>0</v>
      </c>
      <c r="H16" s="32">
        <f t="shared" ref="H16:I16" si="26">C16-F16</f>
        <v>6749</v>
      </c>
      <c r="I16" s="32">
        <f t="shared" si="26"/>
        <v>3560</v>
      </c>
      <c r="J16" s="33">
        <f t="shared" si="2"/>
        <v>10309</v>
      </c>
      <c r="K16" s="21"/>
      <c r="L16" s="34">
        <v>0.95</v>
      </c>
      <c r="M16" s="34">
        <v>0.05</v>
      </c>
      <c r="N16" s="34"/>
      <c r="O16" s="34"/>
      <c r="P16" s="34">
        <v>0.95</v>
      </c>
      <c r="Q16" s="34">
        <v>0.05</v>
      </c>
      <c r="R16" s="34"/>
      <c r="S16" s="34"/>
      <c r="U16" s="35">
        <f t="shared" ref="U16:X16" si="27">L16*$H16+P16*$I16</f>
        <v>9793.5499999999993</v>
      </c>
      <c r="V16" s="35">
        <f t="shared" si="27"/>
        <v>515.45000000000005</v>
      </c>
      <c r="W16" s="35">
        <f t="shared" si="27"/>
        <v>0</v>
      </c>
      <c r="X16" s="35">
        <f t="shared" si="27"/>
        <v>0</v>
      </c>
      <c r="Z16" s="35">
        <f>MAX(U16-'Faturamento Itaipu'!G13+Z15,0)</f>
        <v>27062.799999999999</v>
      </c>
      <c r="AA16" s="35">
        <f>MAX(V16-'Faturamento Icaraí'!J13+AA15,0)</f>
        <v>1680.2000000000014</v>
      </c>
      <c r="AB16" s="35">
        <f>MAX(W16-'Faturamento Laura Jardim'!G2+AB15,0)</f>
        <v>0</v>
      </c>
      <c r="AC16" s="35"/>
    </row>
    <row r="17" spans="1:29" ht="14.5" x14ac:dyDescent="0.35">
      <c r="A17" s="31">
        <v>45352</v>
      </c>
      <c r="B17" s="45" t="s">
        <v>120</v>
      </c>
      <c r="C17" s="32">
        <v>4472</v>
      </c>
      <c r="D17" s="32">
        <v>2756</v>
      </c>
      <c r="E17" s="32">
        <f t="shared" si="0"/>
        <v>7228</v>
      </c>
      <c r="F17" s="32">
        <f>'Faturamento 235'!M16</f>
        <v>599</v>
      </c>
      <c r="G17" s="32">
        <f>'Faturamento 281'!I16</f>
        <v>0</v>
      </c>
      <c r="H17" s="32">
        <f t="shared" ref="H17:I17" si="28">C17-F17</f>
        <v>3873</v>
      </c>
      <c r="I17" s="32">
        <f t="shared" si="28"/>
        <v>2756</v>
      </c>
      <c r="J17" s="33">
        <f t="shared" si="2"/>
        <v>6629</v>
      </c>
      <c r="K17" s="21"/>
      <c r="L17" s="34">
        <v>0.95</v>
      </c>
      <c r="M17" s="34">
        <v>0.05</v>
      </c>
      <c r="N17" s="34"/>
      <c r="O17" s="34"/>
      <c r="P17" s="34">
        <v>0.35</v>
      </c>
      <c r="Q17" s="34">
        <v>0.2</v>
      </c>
      <c r="R17" s="34">
        <v>0.45</v>
      </c>
      <c r="S17" s="34"/>
      <c r="U17" s="35">
        <f t="shared" ref="U17:X17" si="29">L17*$H17+P17*$I17</f>
        <v>4643.95</v>
      </c>
      <c r="V17" s="35">
        <f t="shared" si="29"/>
        <v>744.85</v>
      </c>
      <c r="W17" s="35">
        <f t="shared" si="29"/>
        <v>1240.2</v>
      </c>
      <c r="X17" s="35">
        <f t="shared" si="29"/>
        <v>0</v>
      </c>
      <c r="Z17" s="35">
        <f>MAX(U17-'Faturamento Itaipu'!G14+Z16,0)</f>
        <v>28831.75</v>
      </c>
      <c r="AA17" s="35">
        <f>MAX(V17-'Faturamento Icaraí'!J14+AA16,0)</f>
        <v>905.05000000000143</v>
      </c>
      <c r="AB17" s="35">
        <f>MAX(W17-'Faturamento Laura Jardim'!G3+AB16,0)</f>
        <v>228.20000000000005</v>
      </c>
      <c r="AC17" s="35"/>
    </row>
    <row r="18" spans="1:29" ht="14.5" x14ac:dyDescent="0.35">
      <c r="A18" s="31">
        <v>45383</v>
      </c>
      <c r="B18" s="45" t="s">
        <v>121</v>
      </c>
      <c r="C18" s="32">
        <v>3171</v>
      </c>
      <c r="D18" s="32">
        <v>1981</v>
      </c>
      <c r="E18" s="32">
        <f t="shared" si="0"/>
        <v>5152</v>
      </c>
      <c r="F18" s="32">
        <f>'Faturamento 235'!M17</f>
        <v>542</v>
      </c>
      <c r="G18" s="32">
        <f>'Faturamento 281'!I17</f>
        <v>0</v>
      </c>
      <c r="H18" s="32">
        <f t="shared" ref="H18:I18" si="30">C18-F18</f>
        <v>2629</v>
      </c>
      <c r="I18" s="32">
        <f t="shared" si="30"/>
        <v>1981</v>
      </c>
      <c r="J18" s="33">
        <f t="shared" si="2"/>
        <v>4610</v>
      </c>
      <c r="L18" s="34">
        <v>0.95</v>
      </c>
      <c r="M18" s="34">
        <v>0.05</v>
      </c>
      <c r="N18" s="34"/>
      <c r="O18" s="34"/>
      <c r="P18" s="34">
        <v>0.35</v>
      </c>
      <c r="Q18" s="34">
        <v>0.2</v>
      </c>
      <c r="R18" s="34">
        <v>0.45</v>
      </c>
      <c r="S18" s="34"/>
      <c r="U18" s="35">
        <f t="shared" ref="U18:X18" si="31">L18*$H18+P18*$I18</f>
        <v>3190.8999999999996</v>
      </c>
      <c r="V18" s="35">
        <f t="shared" si="31"/>
        <v>527.65000000000009</v>
      </c>
      <c r="W18" s="35">
        <f t="shared" si="31"/>
        <v>891.45</v>
      </c>
      <c r="X18" s="35">
        <f t="shared" si="31"/>
        <v>0</v>
      </c>
      <c r="Z18" s="35">
        <f>MAX(U18-'Faturamento Itaipu'!G15+Z17,0)</f>
        <v>29491.65</v>
      </c>
      <c r="AA18" s="35">
        <f>MAX(V18-'Faturamento Icaraí'!J15+AA17,0)</f>
        <v>353.70000000000152</v>
      </c>
      <c r="AB18" s="35">
        <f>MAX(W18-'Faturamento Laura Jardim'!G4+AB17,0)</f>
        <v>0</v>
      </c>
      <c r="AC18" s="35"/>
    </row>
    <row r="19" spans="1:29" ht="14.5" x14ac:dyDescent="0.35">
      <c r="A19" s="31">
        <v>45413</v>
      </c>
      <c r="B19" s="45" t="s">
        <v>122</v>
      </c>
      <c r="C19" s="32">
        <v>3271</v>
      </c>
      <c r="D19" s="32">
        <v>2319</v>
      </c>
      <c r="E19" s="32">
        <f t="shared" si="0"/>
        <v>5590</v>
      </c>
      <c r="F19" s="32">
        <f>'Faturamento 235'!M18</f>
        <v>858</v>
      </c>
      <c r="G19" s="32">
        <f>'Faturamento 281'!I18</f>
        <v>0</v>
      </c>
      <c r="H19" s="32">
        <f t="shared" ref="H19:I19" si="32">C19-F19</f>
        <v>2413</v>
      </c>
      <c r="I19" s="32">
        <f t="shared" si="32"/>
        <v>2319</v>
      </c>
      <c r="J19" s="33">
        <f t="shared" si="2"/>
        <v>4732</v>
      </c>
      <c r="K19" s="21"/>
      <c r="L19" s="34">
        <v>0.17</v>
      </c>
      <c r="M19" s="34">
        <v>0.18</v>
      </c>
      <c r="N19" s="34">
        <f t="shared" ref="N19:O19" si="33">N20</f>
        <v>0.3</v>
      </c>
      <c r="O19" s="34">
        <f t="shared" si="33"/>
        <v>0.35</v>
      </c>
      <c r="P19" s="34">
        <v>0.17</v>
      </c>
      <c r="Q19" s="34">
        <v>0.18</v>
      </c>
      <c r="R19" s="34">
        <v>0.3</v>
      </c>
      <c r="S19" s="34">
        <v>0.35</v>
      </c>
      <c r="U19" s="35">
        <f t="shared" ref="U19:X19" si="34">L19*$H19+P19*$I19</f>
        <v>804.44</v>
      </c>
      <c r="V19" s="35">
        <f t="shared" si="34"/>
        <v>851.76</v>
      </c>
      <c r="W19" s="35">
        <f t="shared" si="34"/>
        <v>1419.6</v>
      </c>
      <c r="X19" s="35">
        <f t="shared" si="34"/>
        <v>1656.1999999999998</v>
      </c>
      <c r="Z19" s="35">
        <f>MAX(U19-'Faturamento Itaipu'!G16+Z18,0)</f>
        <v>27828.09</v>
      </c>
      <c r="AA19" s="35">
        <f>MAX(V19-'Faturamento Icaraí'!J16+AA18,0)</f>
        <v>0</v>
      </c>
      <c r="AB19" s="35">
        <f>MAX(W19-'Faturamento Laura Jardim'!G5+AB18,0)</f>
        <v>326.59999999999991</v>
      </c>
      <c r="AC19" s="35"/>
    </row>
    <row r="20" spans="1:29" ht="14.5" x14ac:dyDescent="0.35">
      <c r="A20" s="31">
        <v>45444</v>
      </c>
      <c r="B20" s="32" t="s">
        <v>123</v>
      </c>
      <c r="C20" s="32">
        <v>2049</v>
      </c>
      <c r="D20" s="32">
        <v>1638</v>
      </c>
      <c r="E20" s="32">
        <f t="shared" si="0"/>
        <v>3687</v>
      </c>
      <c r="F20" s="32">
        <f>'Faturamento 235'!M19</f>
        <v>762</v>
      </c>
      <c r="G20" s="32">
        <f>'Faturamento 281'!I19</f>
        <v>0</v>
      </c>
      <c r="H20" s="32">
        <f t="shared" ref="H20:I20" si="35">C20-F20</f>
        <v>1287</v>
      </c>
      <c r="I20" s="32">
        <f t="shared" si="35"/>
        <v>1638</v>
      </c>
      <c r="J20" s="33">
        <f t="shared" si="2"/>
        <v>2925</v>
      </c>
      <c r="K20" s="21"/>
      <c r="L20" s="34">
        <v>0.17</v>
      </c>
      <c r="M20" s="34">
        <v>0.18</v>
      </c>
      <c r="N20" s="34">
        <v>0.3</v>
      </c>
      <c r="O20" s="34">
        <v>0.35</v>
      </c>
      <c r="P20" s="34">
        <v>0.17</v>
      </c>
      <c r="Q20" s="34">
        <v>0.18</v>
      </c>
      <c r="R20" s="34">
        <v>0.3</v>
      </c>
      <c r="S20" s="34">
        <v>0.35</v>
      </c>
      <c r="U20" s="35">
        <f t="shared" ref="U20:X20" si="36">L20*$H20+P20*$I20</f>
        <v>497.25000000000006</v>
      </c>
      <c r="V20" s="35">
        <f t="shared" si="36"/>
        <v>526.5</v>
      </c>
      <c r="W20" s="35">
        <f t="shared" si="36"/>
        <v>877.5</v>
      </c>
      <c r="X20" s="35">
        <f t="shared" si="36"/>
        <v>1023.75</v>
      </c>
      <c r="Z20" s="35">
        <f>MAX(U20-'Faturamento Itaipu'!G17+Z19,0)</f>
        <v>26029.34</v>
      </c>
      <c r="AA20" s="35">
        <f>MAX(V20-'Faturamento Icaraí'!J17+AA19,0)</f>
        <v>0</v>
      </c>
      <c r="AB20" s="35">
        <f>MAX(W20-'Faturamento Laura Jardim'!G6+AB19,0)</f>
        <v>58.099999999999909</v>
      </c>
      <c r="AC20" s="35"/>
    </row>
    <row r="21" spans="1:29" ht="15.75" customHeight="1" x14ac:dyDescent="0.35">
      <c r="A21" s="31">
        <v>45474</v>
      </c>
      <c r="B21" s="32" t="s">
        <v>124</v>
      </c>
      <c r="C21" s="32">
        <v>1826</v>
      </c>
      <c r="D21" s="32">
        <v>1410</v>
      </c>
      <c r="E21" s="32">
        <f t="shared" si="0"/>
        <v>3236</v>
      </c>
      <c r="F21" s="32">
        <f>'Faturamento 235'!M20</f>
        <v>688</v>
      </c>
      <c r="G21" s="32">
        <f>'Faturamento 281'!I20</f>
        <v>0</v>
      </c>
      <c r="H21" s="32">
        <f t="shared" ref="H21:I21" si="37">C21-F21</f>
        <v>1138</v>
      </c>
      <c r="I21" s="32">
        <f t="shared" si="37"/>
        <v>1410</v>
      </c>
      <c r="J21" s="33">
        <f t="shared" si="2"/>
        <v>2548</v>
      </c>
      <c r="K21" s="21"/>
      <c r="L21" s="34">
        <v>0.17</v>
      </c>
      <c r="M21" s="34">
        <v>0.18</v>
      </c>
      <c r="N21" s="34">
        <v>0.3</v>
      </c>
      <c r="O21" s="34">
        <v>0.35</v>
      </c>
      <c r="P21" s="34">
        <v>0.17</v>
      </c>
      <c r="Q21" s="34">
        <v>0.18</v>
      </c>
      <c r="R21" s="34">
        <v>0.3</v>
      </c>
      <c r="S21" s="34">
        <v>0.35</v>
      </c>
      <c r="U21" s="35">
        <f t="shared" ref="U21:X21" si="38">L21*$H21+P21*$I21</f>
        <v>433.16</v>
      </c>
      <c r="V21" s="35">
        <f t="shared" si="38"/>
        <v>458.64</v>
      </c>
      <c r="W21" s="35">
        <f t="shared" si="38"/>
        <v>764.4</v>
      </c>
      <c r="X21" s="35">
        <f t="shared" si="38"/>
        <v>891.8</v>
      </c>
      <c r="Z21" s="35">
        <f>MAX(U21-'Faturamento Itaipu'!G18+Z20,0)</f>
        <v>24471.5</v>
      </c>
      <c r="AA21" s="35">
        <f>MAX(V21-'Faturamento Icaraí'!J18+AA20,0)</f>
        <v>17.639999999999986</v>
      </c>
      <c r="AB21" s="35">
        <f>MAX(W21-'Faturamento Laura Jardim'!G7+AB20,0)</f>
        <v>87.499999999999886</v>
      </c>
      <c r="AC21" s="35"/>
    </row>
    <row r="22" spans="1:29" ht="15.75" customHeight="1" x14ac:dyDescent="0.35">
      <c r="A22" s="31">
        <v>45505</v>
      </c>
      <c r="B22" s="32" t="s">
        <v>125</v>
      </c>
      <c r="C22" s="32">
        <v>3226</v>
      </c>
      <c r="D22" s="32">
        <v>2202</v>
      </c>
      <c r="E22" s="32">
        <f t="shared" si="0"/>
        <v>5428</v>
      </c>
      <c r="F22" s="32">
        <v>255</v>
      </c>
      <c r="G22" s="32">
        <v>0</v>
      </c>
      <c r="H22" s="32">
        <f t="shared" ref="H22:I22" si="39">C22-F22</f>
        <v>2971</v>
      </c>
      <c r="I22" s="32">
        <f t="shared" si="39"/>
        <v>2202</v>
      </c>
      <c r="J22" s="33">
        <f t="shared" si="2"/>
        <v>5173</v>
      </c>
      <c r="K22" s="21"/>
      <c r="L22" s="34">
        <v>0.17</v>
      </c>
      <c r="M22" s="34">
        <v>0.18</v>
      </c>
      <c r="N22" s="34">
        <v>0.3</v>
      </c>
      <c r="O22" s="34">
        <v>0.35</v>
      </c>
      <c r="P22" s="34">
        <v>0.17</v>
      </c>
      <c r="Q22" s="34">
        <v>0.18</v>
      </c>
      <c r="R22" s="34">
        <v>0.3</v>
      </c>
      <c r="S22" s="34">
        <v>0.35</v>
      </c>
      <c r="U22" s="35">
        <f t="shared" ref="U22:X22" si="40">L22*$H22+P22*$I22</f>
        <v>879.41000000000008</v>
      </c>
      <c r="V22" s="35">
        <f t="shared" si="40"/>
        <v>931.14</v>
      </c>
      <c r="W22" s="35">
        <f t="shared" si="40"/>
        <v>1551.9</v>
      </c>
      <c r="X22" s="35">
        <f t="shared" si="40"/>
        <v>1810.5499999999997</v>
      </c>
      <c r="Z22" s="35">
        <f>MAX(U22-'Faturamento Itaipu'!G19+Z21,0)</f>
        <v>23325.91</v>
      </c>
      <c r="AA22" s="35">
        <f>MAX(V22-'Faturamento Icaraí'!J19+AA21,0)</f>
        <v>17.779999999999973</v>
      </c>
      <c r="AB22" s="35">
        <f>MAX(W22-'Faturamento Laura Jardim'!G8+AB21,0)</f>
        <v>449.4</v>
      </c>
      <c r="AC22" s="35"/>
    </row>
    <row r="23" spans="1:29" ht="15.75" customHeight="1" x14ac:dyDescent="0.35">
      <c r="A23" s="31">
        <v>45536</v>
      </c>
      <c r="B23" s="32" t="s">
        <v>126</v>
      </c>
      <c r="C23" s="32">
        <v>4547</v>
      </c>
      <c r="D23" s="32">
        <v>2884</v>
      </c>
      <c r="E23" s="32">
        <f t="shared" si="0"/>
        <v>7431</v>
      </c>
      <c r="F23" s="32">
        <v>492</v>
      </c>
      <c r="G23" s="32">
        <v>43</v>
      </c>
      <c r="H23" s="32">
        <f t="shared" ref="H23:I23" si="41">C23-F23</f>
        <v>4055</v>
      </c>
      <c r="I23" s="32">
        <f t="shared" si="41"/>
        <v>2841</v>
      </c>
      <c r="J23" s="33">
        <f t="shared" si="2"/>
        <v>6896</v>
      </c>
      <c r="K23" s="21"/>
      <c r="L23" s="34">
        <v>0.17</v>
      </c>
      <c r="M23" s="34">
        <v>0.18</v>
      </c>
      <c r="N23" s="34">
        <v>0.3</v>
      </c>
      <c r="O23" s="34">
        <v>0.35</v>
      </c>
      <c r="P23" s="34">
        <v>0.17</v>
      </c>
      <c r="Q23" s="34">
        <v>0.18</v>
      </c>
      <c r="R23" s="34">
        <v>0.3</v>
      </c>
      <c r="S23" s="34">
        <v>0.35</v>
      </c>
      <c r="U23" s="35">
        <f t="shared" ref="U23:X23" si="42">L23*$H23+P23*$I23</f>
        <v>1172.3200000000002</v>
      </c>
      <c r="V23" s="35">
        <f t="shared" si="42"/>
        <v>1241.28</v>
      </c>
      <c r="W23" s="35">
        <f t="shared" si="42"/>
        <v>2068.8000000000002</v>
      </c>
      <c r="X23" s="35">
        <f t="shared" si="42"/>
        <v>2413.6</v>
      </c>
      <c r="Z23" s="35">
        <f>MAX(U23-'Faturamento Itaipu'!G20+Z22,0)</f>
        <v>21997.23</v>
      </c>
      <c r="AA23" s="35">
        <f>MAX(V23-'Faturamento Icaraí'!J20+AA22,0)</f>
        <v>18.059999999999945</v>
      </c>
      <c r="AB23" s="35">
        <f>MAX(W23-'Faturamento Laura Jardim'!G9+AB22,0)</f>
        <v>1308.2000000000003</v>
      </c>
      <c r="AC23" s="35"/>
    </row>
    <row r="24" spans="1:29" ht="15.75" customHeight="1" x14ac:dyDescent="0.35">
      <c r="A24" s="31">
        <v>45566</v>
      </c>
      <c r="B24" s="32" t="s">
        <v>128</v>
      </c>
      <c r="C24" s="32">
        <v>4114</v>
      </c>
      <c r="D24" s="32">
        <v>2513</v>
      </c>
      <c r="E24" s="32">
        <f t="shared" si="0"/>
        <v>6627</v>
      </c>
      <c r="F24" s="32">
        <v>591</v>
      </c>
      <c r="G24" s="32">
        <v>46</v>
      </c>
      <c r="H24" s="32">
        <f t="shared" ref="H24:I24" si="43">C24-F24</f>
        <v>3523</v>
      </c>
      <c r="I24" s="32">
        <f t="shared" si="43"/>
        <v>2467</v>
      </c>
      <c r="J24" s="33">
        <f t="shared" si="2"/>
        <v>5990</v>
      </c>
      <c r="K24" s="21"/>
      <c r="L24" s="34">
        <v>0.17</v>
      </c>
      <c r="M24" s="34">
        <v>0.18</v>
      </c>
      <c r="N24" s="34">
        <v>0.3</v>
      </c>
      <c r="O24" s="34">
        <v>0.35</v>
      </c>
      <c r="P24" s="34">
        <v>0.17</v>
      </c>
      <c r="Q24" s="34">
        <v>0.18</v>
      </c>
      <c r="R24" s="34">
        <v>0.3</v>
      </c>
      <c r="S24" s="34">
        <v>0.35</v>
      </c>
      <c r="U24" s="35">
        <f t="shared" ref="U24:X24" si="44">L24*$H24+P24*$I24</f>
        <v>1018.3000000000002</v>
      </c>
      <c r="V24" s="35">
        <f t="shared" si="44"/>
        <v>1078.2</v>
      </c>
      <c r="W24" s="35">
        <f t="shared" si="44"/>
        <v>1797</v>
      </c>
      <c r="X24" s="35">
        <f t="shared" si="44"/>
        <v>2096.5</v>
      </c>
      <c r="Z24" s="35">
        <f>MAX(U24-'Faturamento Itaipu'!G21+Z23,0)</f>
        <v>20303.53</v>
      </c>
      <c r="AA24" s="35">
        <f>MAX(V24-'Faturamento Icaraí'!J21+AA23,0)</f>
        <v>18.259999999999991</v>
      </c>
      <c r="AB24" s="35">
        <f>MAX(W24-'Faturamento Laura Jardim'!G10+AB23,0)</f>
        <v>1959.2000000000003</v>
      </c>
      <c r="AC24" s="35"/>
    </row>
    <row r="25" spans="1:29" ht="15.75" customHeight="1" x14ac:dyDescent="0.35">
      <c r="A25" s="31">
        <v>45597</v>
      </c>
      <c r="B25" s="32" t="s">
        <v>129</v>
      </c>
      <c r="C25" s="32">
        <v>4046</v>
      </c>
      <c r="D25" s="32">
        <v>2578</v>
      </c>
      <c r="E25" s="32">
        <f t="shared" si="0"/>
        <v>6624</v>
      </c>
      <c r="F25" s="32">
        <v>598</v>
      </c>
      <c r="G25" s="32">
        <v>94</v>
      </c>
      <c r="H25" s="32">
        <f t="shared" ref="H25:I25" si="45">C25-F25</f>
        <v>3448</v>
      </c>
      <c r="I25" s="32">
        <f t="shared" si="45"/>
        <v>2484</v>
      </c>
      <c r="J25" s="33">
        <f t="shared" si="2"/>
        <v>5932</v>
      </c>
      <c r="K25" s="21"/>
      <c r="L25" s="34">
        <v>0.17</v>
      </c>
      <c r="M25" s="34">
        <v>0.18</v>
      </c>
      <c r="N25" s="34">
        <v>0.3</v>
      </c>
      <c r="O25" s="34">
        <v>0.35</v>
      </c>
      <c r="P25" s="34">
        <v>0.17</v>
      </c>
      <c r="Q25" s="34">
        <v>0.18</v>
      </c>
      <c r="R25" s="34">
        <v>0.3</v>
      </c>
      <c r="S25" s="34">
        <v>0.35</v>
      </c>
      <c r="U25" s="35">
        <f t="shared" ref="U25:X25" si="46">L25*$H25+P25*$I25</f>
        <v>1008.44</v>
      </c>
      <c r="V25" s="35">
        <f t="shared" si="46"/>
        <v>1067.76</v>
      </c>
      <c r="W25" s="35">
        <f t="shared" si="46"/>
        <v>1779.6</v>
      </c>
      <c r="X25" s="35">
        <f t="shared" si="46"/>
        <v>2076.1999999999998</v>
      </c>
      <c r="Z25" s="35">
        <f>MAX(U25-'Faturamento Itaipu'!G22+Z24,0)</f>
        <v>18626.969999999998</v>
      </c>
      <c r="AA25" s="35">
        <f>MAX(V25-'Faturamento Icaraí'!J22+AA24,0)</f>
        <v>19.019999999999982</v>
      </c>
      <c r="AB25" s="35">
        <f>MAX(W25-'Faturamento Laura Jardim'!G11+AB24,0)</f>
        <v>2519.8000000000002</v>
      </c>
      <c r="AC25" s="35"/>
    </row>
    <row r="26" spans="1:29" ht="15.75" customHeight="1" x14ac:dyDescent="0.35">
      <c r="A26" s="31">
        <v>45627</v>
      </c>
      <c r="B26" s="32" t="s">
        <v>130</v>
      </c>
      <c r="C26" s="32">
        <v>4483</v>
      </c>
      <c r="D26" s="32">
        <v>2813</v>
      </c>
      <c r="E26" s="32">
        <f t="shared" si="0"/>
        <v>7296</v>
      </c>
      <c r="F26" s="32">
        <v>448</v>
      </c>
      <c r="G26" s="32">
        <v>41</v>
      </c>
      <c r="H26" s="32">
        <f t="shared" ref="H26:I26" si="47">C26-F26</f>
        <v>4035</v>
      </c>
      <c r="I26" s="32">
        <f t="shared" si="47"/>
        <v>2772</v>
      </c>
      <c r="J26" s="33">
        <f t="shared" si="2"/>
        <v>6807</v>
      </c>
      <c r="K26" s="21"/>
      <c r="L26" s="34">
        <v>0.17</v>
      </c>
      <c r="M26" s="34">
        <v>0.18</v>
      </c>
      <c r="N26" s="34">
        <v>0.3</v>
      </c>
      <c r="O26" s="34">
        <v>0.35</v>
      </c>
      <c r="P26" s="34">
        <v>0.17</v>
      </c>
      <c r="Q26" s="34">
        <v>0.18</v>
      </c>
      <c r="R26" s="34">
        <v>0.3</v>
      </c>
      <c r="S26" s="34">
        <v>0.35</v>
      </c>
      <c r="U26" s="35">
        <f t="shared" ref="U26:X26" si="48">L26*$H26+P26*$I26</f>
        <v>1157.19</v>
      </c>
      <c r="V26" s="35">
        <f t="shared" si="48"/>
        <v>1225.26</v>
      </c>
      <c r="W26" s="35">
        <f t="shared" si="48"/>
        <v>2042.1</v>
      </c>
      <c r="X26" s="35">
        <f t="shared" si="48"/>
        <v>2382.4499999999998</v>
      </c>
      <c r="Z26" s="35">
        <f>MAX(U26-'Faturamento Itaipu'!G23+Z25,0)</f>
        <v>17012.159999999996</v>
      </c>
      <c r="AA26" s="35">
        <f>MAX(V26-'Faturamento Icaraí'!J23+AA25,0)</f>
        <v>19.279999999999973</v>
      </c>
      <c r="AB26" s="35">
        <f>MAX(W26-'Faturamento Laura Jardim'!G12+AB25,0)</f>
        <v>3276.9</v>
      </c>
      <c r="AC26" s="35"/>
    </row>
    <row r="27" spans="1:29" ht="15.75" customHeight="1" x14ac:dyDescent="0.35">
      <c r="A27" s="31">
        <v>45658</v>
      </c>
      <c r="B27" s="32" t="s">
        <v>131</v>
      </c>
      <c r="C27" s="32">
        <v>6633</v>
      </c>
      <c r="D27" s="32">
        <v>3509</v>
      </c>
      <c r="E27" s="32">
        <f t="shared" si="0"/>
        <v>10142</v>
      </c>
      <c r="F27" s="32">
        <v>12</v>
      </c>
      <c r="G27" s="32">
        <v>0</v>
      </c>
      <c r="H27" s="32">
        <f t="shared" ref="H27:I27" si="49">C27-F27</f>
        <v>6621</v>
      </c>
      <c r="I27" s="32">
        <f t="shared" si="49"/>
        <v>3509</v>
      </c>
      <c r="J27" s="33">
        <f t="shared" si="2"/>
        <v>10130</v>
      </c>
      <c r="K27" s="21"/>
      <c r="L27" s="34">
        <v>0.17</v>
      </c>
      <c r="M27" s="34">
        <v>0.18</v>
      </c>
      <c r="N27" s="34">
        <v>0.3</v>
      </c>
      <c r="O27" s="34">
        <v>0.35</v>
      </c>
      <c r="P27" s="34">
        <v>0.17</v>
      </c>
      <c r="Q27" s="34">
        <v>0.18</v>
      </c>
      <c r="R27" s="34">
        <v>0.3</v>
      </c>
      <c r="S27" s="34">
        <v>0.35</v>
      </c>
      <c r="U27" s="35">
        <f t="shared" ref="U27:X27" si="50">L27*$H27+P27*$I27</f>
        <v>1722.1000000000004</v>
      </c>
      <c r="V27" s="35">
        <f t="shared" si="50"/>
        <v>1823.4</v>
      </c>
      <c r="W27" s="35">
        <f t="shared" si="50"/>
        <v>3039</v>
      </c>
      <c r="X27" s="35">
        <f t="shared" si="50"/>
        <v>3545.5</v>
      </c>
      <c r="Z27" s="35">
        <f>MAX(U27-'Faturamento Itaipu'!G24+Z26,0)</f>
        <v>15541.259999999997</v>
      </c>
      <c r="AA27" s="35">
        <f>MAX(V27-'Faturamento Icaraí'!J24+AA26,0)</f>
        <v>20.680000000000064</v>
      </c>
      <c r="AB27" s="35">
        <f>MAX(W27-'Faturamento Laura Jardim'!G13+AB26,0)</f>
        <v>5205.8999999999996</v>
      </c>
      <c r="AC27" s="35"/>
    </row>
    <row r="28" spans="1:29" ht="15.75" customHeight="1" x14ac:dyDescent="0.35">
      <c r="A28" s="31">
        <v>45689</v>
      </c>
      <c r="B28" s="32" t="s">
        <v>132</v>
      </c>
      <c r="C28" s="32">
        <v>6232</v>
      </c>
      <c r="D28" s="32">
        <v>3812</v>
      </c>
      <c r="E28" s="32">
        <f t="shared" si="0"/>
        <v>10044</v>
      </c>
      <c r="F28" s="32">
        <v>183</v>
      </c>
      <c r="G28" s="32">
        <v>0</v>
      </c>
      <c r="H28" s="32">
        <f t="shared" ref="H28:I28" si="51">C28-F28</f>
        <v>6049</v>
      </c>
      <c r="I28" s="32">
        <f t="shared" si="51"/>
        <v>3812</v>
      </c>
      <c r="J28" s="33">
        <f t="shared" si="2"/>
        <v>9861</v>
      </c>
      <c r="K28" s="21"/>
      <c r="L28" s="34">
        <v>0.17</v>
      </c>
      <c r="M28" s="34">
        <v>0.18</v>
      </c>
      <c r="N28" s="34">
        <v>0.3</v>
      </c>
      <c r="O28" s="34">
        <v>0.35</v>
      </c>
      <c r="P28" s="34">
        <v>0.17</v>
      </c>
      <c r="Q28" s="34">
        <v>0.18</v>
      </c>
      <c r="R28" s="34">
        <v>0.3</v>
      </c>
      <c r="S28" s="34">
        <v>0.35</v>
      </c>
      <c r="U28" s="35">
        <f t="shared" ref="U28:X28" si="52">L28*$H28+P28*$I28</f>
        <v>1676.3700000000003</v>
      </c>
      <c r="V28" s="35">
        <f t="shared" si="52"/>
        <v>1774.98</v>
      </c>
      <c r="W28" s="35">
        <f t="shared" si="52"/>
        <v>2958.3</v>
      </c>
      <c r="X28" s="35">
        <f t="shared" si="52"/>
        <v>3451.35</v>
      </c>
      <c r="Z28" s="35">
        <f>MAX(U28-'Faturamento Itaipu'!G25+Z27,0)</f>
        <v>13877.629999999997</v>
      </c>
      <c r="AA28" s="35">
        <f>MAX(V28-'Faturamento Icaraí'!J25+AA27,0)</f>
        <v>41.660000000000082</v>
      </c>
      <c r="AB28" s="35">
        <f>MAX(W28-'Faturamento Laura Jardim'!G14+AB27,0)</f>
        <v>6924.2</v>
      </c>
      <c r="AC28" s="35"/>
    </row>
    <row r="29" spans="1:29" ht="15.75" customHeight="1" x14ac:dyDescent="0.35">
      <c r="A29" s="31">
        <v>45717</v>
      </c>
      <c r="B29" s="32" t="s">
        <v>133</v>
      </c>
      <c r="C29" s="32">
        <v>5469</v>
      </c>
      <c r="D29" s="32">
        <v>3498</v>
      </c>
      <c r="E29" s="32">
        <f t="shared" si="0"/>
        <v>8967</v>
      </c>
      <c r="F29" s="32">
        <v>418</v>
      </c>
      <c r="G29" s="32">
        <v>20</v>
      </c>
      <c r="H29" s="32">
        <f t="shared" ref="H29:I29" si="53">C29-F29</f>
        <v>5051</v>
      </c>
      <c r="I29" s="32">
        <f t="shared" si="53"/>
        <v>3478</v>
      </c>
      <c r="J29" s="33">
        <f t="shared" si="2"/>
        <v>8529</v>
      </c>
      <c r="K29" s="21"/>
      <c r="L29" s="34">
        <v>0.17</v>
      </c>
      <c r="M29" s="34">
        <v>0.18</v>
      </c>
      <c r="N29" s="34">
        <v>0.3</v>
      </c>
      <c r="O29" s="34">
        <v>0.35</v>
      </c>
      <c r="P29" s="34">
        <v>0.17</v>
      </c>
      <c r="Q29" s="34">
        <v>0.18</v>
      </c>
      <c r="R29" s="34">
        <v>0.3</v>
      </c>
      <c r="S29" s="34">
        <v>0.35</v>
      </c>
      <c r="U29" s="35">
        <f t="shared" ref="U29:X29" si="54">L29*$H29+P29*$I29</f>
        <v>1449.93</v>
      </c>
      <c r="V29" s="35">
        <f t="shared" si="54"/>
        <v>1535.2199999999998</v>
      </c>
      <c r="W29" s="35">
        <f t="shared" si="54"/>
        <v>2558.6999999999998</v>
      </c>
      <c r="X29" s="35">
        <f t="shared" si="54"/>
        <v>2985.1499999999996</v>
      </c>
      <c r="Z29" s="35">
        <f>MAX(U29-'Faturamento Itaipu'!G26+Z28,0)</f>
        <v>12402.559999999998</v>
      </c>
      <c r="AA29" s="35">
        <f>MAX(V29-'Faturamento Icaraí'!J26+AA28,0)</f>
        <v>41.879999999999882</v>
      </c>
      <c r="AB29" s="35">
        <f>MAX(W29-'Faturamento Laura Jardim'!G15+AB28,0)</f>
        <v>8291.9</v>
      </c>
      <c r="AC29" s="35"/>
    </row>
    <row r="30" spans="1:29" ht="15.75" customHeight="1" x14ac:dyDescent="0.35">
      <c r="A30" s="31">
        <v>45748</v>
      </c>
      <c r="B30" s="32" t="s">
        <v>134</v>
      </c>
      <c r="C30" s="32">
        <v>2995</v>
      </c>
      <c r="D30" s="32">
        <v>2003</v>
      </c>
      <c r="E30" s="32">
        <f t="shared" si="0"/>
        <v>4998</v>
      </c>
      <c r="F30" s="32">
        <v>638</v>
      </c>
      <c r="G30" s="32">
        <v>206</v>
      </c>
      <c r="H30" s="32">
        <f t="shared" ref="H30:I30" si="55">C30-F30</f>
        <v>2357</v>
      </c>
      <c r="I30" s="32">
        <f t="shared" si="55"/>
        <v>1797</v>
      </c>
      <c r="J30" s="33">
        <f t="shared" si="2"/>
        <v>4154</v>
      </c>
      <c r="K30" s="21"/>
      <c r="L30" s="34">
        <v>0.17</v>
      </c>
      <c r="M30" s="34">
        <v>0.18</v>
      </c>
      <c r="N30" s="34">
        <v>0.3</v>
      </c>
      <c r="O30" s="34">
        <v>0.35</v>
      </c>
      <c r="P30" s="34">
        <v>0.17</v>
      </c>
      <c r="Q30" s="34">
        <v>0.18</v>
      </c>
      <c r="R30" s="34">
        <v>0.3</v>
      </c>
      <c r="S30" s="34">
        <v>0.35</v>
      </c>
      <c r="U30" s="35">
        <f t="shared" ref="U30:X30" si="56">L30*$H30+P30*$I30</f>
        <v>706.18000000000006</v>
      </c>
      <c r="V30" s="35">
        <f t="shared" si="56"/>
        <v>747.72</v>
      </c>
      <c r="W30" s="35">
        <f t="shared" si="56"/>
        <v>1246.2</v>
      </c>
      <c r="X30" s="35">
        <f t="shared" si="56"/>
        <v>1453.8999999999999</v>
      </c>
      <c r="Z30" s="35">
        <f>MAX(U30-'Faturamento Itaipu'!G27+Z29,0)</f>
        <v>10575.739999999998</v>
      </c>
      <c r="AA30" s="35">
        <f>MAX(V30-'Faturamento Icaraí'!J27+AA29,0)</f>
        <v>42.599999999999909</v>
      </c>
      <c r="AB30" s="35">
        <f>MAX(W30-'Faturamento Laura Jardim'!G16+AB29,0)</f>
        <v>8356.1</v>
      </c>
      <c r="AC30" s="35"/>
    </row>
    <row r="31" spans="1:29" ht="15.75" customHeight="1" x14ac:dyDescent="0.35">
      <c r="A31" s="31">
        <v>45778</v>
      </c>
      <c r="B31" s="32" t="s">
        <v>135</v>
      </c>
      <c r="C31" s="32">
        <v>2934</v>
      </c>
      <c r="D31" s="32">
        <v>2013</v>
      </c>
      <c r="E31" s="32">
        <f t="shared" si="0"/>
        <v>4947</v>
      </c>
      <c r="F31" s="32">
        <v>425</v>
      </c>
      <c r="G31" s="32">
        <v>73</v>
      </c>
      <c r="H31" s="32">
        <f t="shared" ref="H31:I31" si="57">C31-F31</f>
        <v>2509</v>
      </c>
      <c r="I31" s="32">
        <f t="shared" si="57"/>
        <v>1940</v>
      </c>
      <c r="J31" s="33">
        <f t="shared" si="2"/>
        <v>4449</v>
      </c>
      <c r="K31" s="21"/>
      <c r="L31" s="34">
        <v>0.17</v>
      </c>
      <c r="M31" s="34">
        <v>0.18</v>
      </c>
      <c r="N31" s="34">
        <v>0.3</v>
      </c>
      <c r="O31" s="34">
        <v>0.35</v>
      </c>
      <c r="P31" s="34">
        <v>0.17</v>
      </c>
      <c r="Q31" s="34">
        <v>0.18</v>
      </c>
      <c r="R31" s="34">
        <v>0.3</v>
      </c>
      <c r="S31" s="34">
        <v>0.35</v>
      </c>
      <c r="U31" s="35">
        <f t="shared" ref="U31:X31" si="58">L31*$H31+P31*$I31</f>
        <v>756.33</v>
      </c>
      <c r="V31" s="35">
        <f t="shared" si="58"/>
        <v>800.81999999999994</v>
      </c>
      <c r="W31" s="35">
        <f t="shared" si="58"/>
        <v>1334.6999999999998</v>
      </c>
      <c r="X31" s="35">
        <f t="shared" si="58"/>
        <v>1557.15</v>
      </c>
      <c r="Z31" s="35">
        <f>MAX(U31-'Faturamento Itaipu'!G28+Z30,0)</f>
        <v>8978.0699999999979</v>
      </c>
      <c r="AA31" s="35">
        <f>MAX(V31-'Faturamento Icaraí'!J28+AA30,0)</f>
        <v>43.419999999999845</v>
      </c>
      <c r="AB31" s="35">
        <f>MAX(W31-'Faturamento Laura Jardim'!G17+AB30,0)</f>
        <v>8488.7999999999993</v>
      </c>
      <c r="AC31" s="35"/>
    </row>
    <row r="32" spans="1:29" ht="15.75" customHeight="1" x14ac:dyDescent="0.35">
      <c r="A32" s="31">
        <v>45809</v>
      </c>
      <c r="B32" s="32" t="s">
        <v>136</v>
      </c>
      <c r="C32" s="32">
        <v>2368</v>
      </c>
      <c r="D32" s="32">
        <v>1960</v>
      </c>
      <c r="E32" s="32">
        <f t="shared" si="0"/>
        <v>4328</v>
      </c>
      <c r="F32" s="32">
        <v>511</v>
      </c>
      <c r="G32" s="32">
        <v>80</v>
      </c>
      <c r="H32" s="32">
        <f t="shared" ref="H32:I32" si="59">C32-F32</f>
        <v>1857</v>
      </c>
      <c r="I32" s="32">
        <f t="shared" si="59"/>
        <v>1880</v>
      </c>
      <c r="J32" s="33">
        <f t="shared" si="2"/>
        <v>3737</v>
      </c>
      <c r="K32" s="21"/>
      <c r="L32" s="34">
        <v>0</v>
      </c>
      <c r="M32" s="34">
        <v>0.44</v>
      </c>
      <c r="N32" s="34">
        <v>0.12</v>
      </c>
      <c r="O32" s="34">
        <v>0.44</v>
      </c>
      <c r="P32" s="34">
        <v>0</v>
      </c>
      <c r="Q32" s="34">
        <v>0.44</v>
      </c>
      <c r="R32" s="34">
        <v>0.12</v>
      </c>
      <c r="S32" s="34">
        <v>0.44</v>
      </c>
      <c r="U32" s="35">
        <f t="shared" ref="U32:X32" si="60">L32*$H32+P32*$I32</f>
        <v>0</v>
      </c>
      <c r="V32" s="35">
        <f t="shared" si="60"/>
        <v>1644.2800000000002</v>
      </c>
      <c r="W32" s="35">
        <f t="shared" si="60"/>
        <v>448.44</v>
      </c>
      <c r="X32" s="35">
        <f t="shared" si="60"/>
        <v>1644.2800000000002</v>
      </c>
      <c r="Z32" s="35">
        <f>MAX(U32-'Faturamento Itaipu'!G29+Z31,0)</f>
        <v>6747.0699999999979</v>
      </c>
      <c r="AA32" s="35">
        <f>MAX(V32-'Faturamento Icaraí'!J29+AA31,0)</f>
        <v>43.700000000000045</v>
      </c>
      <c r="AB32" s="35">
        <f>MAX(W32-'Faturamento Laura Jardim'!G18+AB31,0)</f>
        <v>7794.24</v>
      </c>
      <c r="AC32" s="35"/>
    </row>
    <row r="33" spans="1:29" ht="15.75" customHeight="1" x14ac:dyDescent="0.35">
      <c r="A33" s="31">
        <v>45839</v>
      </c>
      <c r="B33" s="32" t="s">
        <v>138</v>
      </c>
      <c r="C33" s="32">
        <v>2358</v>
      </c>
      <c r="D33" s="32">
        <v>1762</v>
      </c>
      <c r="E33" s="32">
        <f t="shared" si="0"/>
        <v>4120</v>
      </c>
      <c r="F33" s="32">
        <v>264</v>
      </c>
      <c r="G33" s="32">
        <v>11</v>
      </c>
      <c r="H33" s="32">
        <f t="shared" ref="H33:I33" si="61">C33-F33</f>
        <v>2094</v>
      </c>
      <c r="I33" s="32">
        <f t="shared" si="61"/>
        <v>1751</v>
      </c>
      <c r="J33" s="33">
        <f t="shared" si="2"/>
        <v>3845</v>
      </c>
      <c r="K33" s="21"/>
      <c r="L33" s="34">
        <v>0</v>
      </c>
      <c r="M33" s="34">
        <v>0.44</v>
      </c>
      <c r="N33" s="34">
        <v>0.12</v>
      </c>
      <c r="O33" s="34">
        <v>0.44</v>
      </c>
      <c r="P33" s="34">
        <v>0</v>
      </c>
      <c r="Q33" s="34">
        <v>0.44</v>
      </c>
      <c r="R33" s="34">
        <v>0.12</v>
      </c>
      <c r="S33" s="34">
        <v>0.44</v>
      </c>
      <c r="U33" s="35">
        <f t="shared" ref="U33:X33" si="62">L33*$H33+P33*$I33</f>
        <v>0</v>
      </c>
      <c r="V33" s="35">
        <f t="shared" si="62"/>
        <v>1691.8000000000002</v>
      </c>
      <c r="W33" s="35">
        <f t="shared" si="62"/>
        <v>461.4</v>
      </c>
      <c r="X33" s="35">
        <f t="shared" si="62"/>
        <v>1691.8000000000002</v>
      </c>
      <c r="Z33" s="35">
        <f>MAX(U33-'Faturamento Itaipu'!G30+Z32,0)</f>
        <v>4677.0699999999979</v>
      </c>
      <c r="AA33" s="35">
        <f>MAX(V33-'Faturamento Icaraí'!J30+AA32,0)</f>
        <v>44.500000000000227</v>
      </c>
      <c r="AB33" s="35">
        <f>MAX(W33-'Faturamento Laura Jardim'!G19+AB32,0)</f>
        <v>7107.6399999999994</v>
      </c>
      <c r="AC33" s="35"/>
    </row>
    <row r="34" spans="1:29" ht="15.75" customHeight="1" x14ac:dyDescent="0.35">
      <c r="A34" s="31">
        <v>45870</v>
      </c>
      <c r="B34" s="32" t="s">
        <v>139</v>
      </c>
      <c r="C34" s="32">
        <v>3139</v>
      </c>
      <c r="D34" s="32">
        <v>2098</v>
      </c>
      <c r="E34" s="32">
        <f t="shared" si="0"/>
        <v>5237</v>
      </c>
      <c r="F34" s="32">
        <v>157</v>
      </c>
      <c r="G34" s="32">
        <v>0</v>
      </c>
      <c r="H34" s="32">
        <f t="shared" ref="H34:I34" si="63">C34-F34</f>
        <v>2982</v>
      </c>
      <c r="I34" s="32">
        <f t="shared" si="63"/>
        <v>2098</v>
      </c>
      <c r="J34" s="33">
        <f t="shared" si="2"/>
        <v>5080</v>
      </c>
      <c r="K34" s="21"/>
      <c r="L34" s="34">
        <v>0</v>
      </c>
      <c r="M34" s="34">
        <v>0.44</v>
      </c>
      <c r="N34" s="34">
        <v>0.12</v>
      </c>
      <c r="O34" s="34">
        <v>0.44</v>
      </c>
      <c r="P34" s="34">
        <v>0</v>
      </c>
      <c r="Q34" s="34">
        <v>0.44</v>
      </c>
      <c r="R34" s="34">
        <v>0.12</v>
      </c>
      <c r="S34" s="34">
        <v>0.44</v>
      </c>
      <c r="U34" s="35">
        <f t="shared" ref="U34:X34" si="64">L34*$H34+P34*$I34</f>
        <v>0</v>
      </c>
      <c r="V34" s="35">
        <f t="shared" si="64"/>
        <v>2235.1999999999998</v>
      </c>
      <c r="W34" s="35">
        <f t="shared" si="64"/>
        <v>609.59999999999991</v>
      </c>
      <c r="X34" s="35">
        <f t="shared" si="64"/>
        <v>2235.1999999999998</v>
      </c>
      <c r="Z34" s="35">
        <f>MAX(U34-'Faturamento Itaipu'!G31+Z33,0)</f>
        <v>2638.0699999999979</v>
      </c>
      <c r="AA34" s="35">
        <f>MAX(V34-'Faturamento Icaraí'!J31+AA33,0)</f>
        <v>44.700000000000045</v>
      </c>
      <c r="AB34" s="35">
        <f>MAX(W34-'Faturamento Laura Jardim'!G20+AB33,0)</f>
        <v>6588.24</v>
      </c>
      <c r="AC34" s="35"/>
    </row>
    <row r="35" spans="1:29" ht="15.75" customHeight="1" x14ac:dyDescent="0.35">
      <c r="A35" s="31">
        <v>45901</v>
      </c>
      <c r="B35" s="32" t="s">
        <v>140</v>
      </c>
      <c r="C35" s="32">
        <v>3612</v>
      </c>
      <c r="D35" s="32">
        <v>2595</v>
      </c>
      <c r="E35" s="32">
        <f t="shared" si="0"/>
        <v>6207</v>
      </c>
      <c r="F35" s="32">
        <v>473</v>
      </c>
      <c r="G35" s="32">
        <v>18</v>
      </c>
      <c r="H35" s="32">
        <f t="shared" ref="H35:I35" si="65">C35-F35</f>
        <v>3139</v>
      </c>
      <c r="I35" s="32">
        <f t="shared" si="65"/>
        <v>2577</v>
      </c>
      <c r="J35" s="33">
        <f t="shared" si="2"/>
        <v>5716</v>
      </c>
      <c r="K35" s="21"/>
      <c r="L35" s="34">
        <v>0</v>
      </c>
      <c r="M35" s="34">
        <v>0.44</v>
      </c>
      <c r="N35" s="34">
        <v>0.12</v>
      </c>
      <c r="O35" s="34">
        <v>0.44</v>
      </c>
      <c r="P35" s="34">
        <v>0</v>
      </c>
      <c r="Q35" s="34">
        <v>0.44</v>
      </c>
      <c r="R35" s="34">
        <v>0.12</v>
      </c>
      <c r="S35" s="34">
        <v>0.44</v>
      </c>
      <c r="U35" s="35">
        <f t="shared" ref="U35:X35" si="66">L35*$H35+P35*$I35</f>
        <v>0</v>
      </c>
      <c r="V35" s="35">
        <f t="shared" si="66"/>
        <v>2515.04</v>
      </c>
      <c r="W35" s="35">
        <f t="shared" si="66"/>
        <v>685.92000000000007</v>
      </c>
      <c r="X35" s="35">
        <f t="shared" si="66"/>
        <v>2515.04</v>
      </c>
      <c r="Z35" s="35">
        <f>MAX(U35-'Faturamento Itaipu'!G32+Z34,0)</f>
        <v>424.06999999999789</v>
      </c>
      <c r="AA35" s="35">
        <f>MAX(V35-'Faturamento Icaraí'!J32+AA34,0)</f>
        <v>44.740000000000009</v>
      </c>
      <c r="AB35" s="35">
        <f>MAX(W35-'Faturamento Laura Jardim'!G21+AB34,0)</f>
        <v>6311.16</v>
      </c>
      <c r="AC35" s="35"/>
    </row>
    <row r="36" spans="1:29" ht="15.75" customHeight="1" x14ac:dyDescent="0.35">
      <c r="A36" s="31">
        <v>45931</v>
      </c>
      <c r="B36" s="32" t="s">
        <v>141</v>
      </c>
      <c r="C36" s="32">
        <v>4187</v>
      </c>
      <c r="D36" s="32">
        <v>2766</v>
      </c>
      <c r="E36" s="32">
        <f t="shared" si="0"/>
        <v>6953</v>
      </c>
      <c r="F36" s="32">
        <v>485</v>
      </c>
      <c r="G36" s="32">
        <v>21</v>
      </c>
      <c r="H36" s="32">
        <f t="shared" ref="H36:I36" si="67">C36-F36</f>
        <v>3702</v>
      </c>
      <c r="I36" s="32">
        <f t="shared" si="67"/>
        <v>2745</v>
      </c>
      <c r="J36" s="33">
        <f t="shared" si="2"/>
        <v>6447</v>
      </c>
      <c r="K36" s="21"/>
      <c r="L36" s="34">
        <v>0</v>
      </c>
      <c r="M36" s="34">
        <v>0.44</v>
      </c>
      <c r="N36" s="34">
        <v>0.12</v>
      </c>
      <c r="O36" s="34">
        <v>0.44</v>
      </c>
      <c r="P36" s="34">
        <v>0</v>
      </c>
      <c r="Q36" s="34">
        <v>0.44</v>
      </c>
      <c r="R36" s="34">
        <v>0.12</v>
      </c>
      <c r="S36" s="34">
        <v>0.44</v>
      </c>
      <c r="U36" s="35">
        <f t="shared" ref="U36:X36" si="68">L36*$H36+P36*$I36</f>
        <v>0</v>
      </c>
      <c r="V36" s="35">
        <f t="shared" si="68"/>
        <v>2836.6800000000003</v>
      </c>
      <c r="W36" s="35">
        <f t="shared" si="68"/>
        <v>773.64</v>
      </c>
      <c r="X36" s="35">
        <f t="shared" si="68"/>
        <v>2836.6800000000003</v>
      </c>
      <c r="Z36" s="35">
        <f>MAX(U36-'Faturamento Itaipu'!G33+Z35,0)</f>
        <v>424.06999999999789</v>
      </c>
      <c r="AA36" s="35">
        <f>MAX(V36-'Faturamento Icaraí'!J33+AA35,0)</f>
        <v>45.4200000000003</v>
      </c>
      <c r="AB36" s="35">
        <f>MAX(W36-'Faturamento Laura Jardim'!G22+AB35,0)</f>
        <v>6028.8</v>
      </c>
      <c r="AC36" s="35"/>
    </row>
    <row r="37" spans="1:29" ht="15.75" customHeight="1" x14ac:dyDescent="0.35">
      <c r="A37" s="31">
        <v>45962</v>
      </c>
      <c r="B37" s="32" t="s">
        <v>142</v>
      </c>
      <c r="C37" s="32">
        <v>4324</v>
      </c>
      <c r="D37" s="32">
        <v>2814</v>
      </c>
      <c r="E37" s="32">
        <f t="shared" si="0"/>
        <v>7138</v>
      </c>
      <c r="F37" s="32">
        <v>430</v>
      </c>
      <c r="G37" s="32">
        <v>0</v>
      </c>
      <c r="H37" s="32">
        <f t="shared" ref="H37:I37" si="69">C37-F37</f>
        <v>3894</v>
      </c>
      <c r="I37" s="32">
        <f t="shared" si="69"/>
        <v>2814</v>
      </c>
      <c r="J37" s="33">
        <f t="shared" si="2"/>
        <v>6708</v>
      </c>
      <c r="K37" s="21"/>
      <c r="L37" s="34">
        <v>0</v>
      </c>
      <c r="M37" s="34">
        <v>0.44</v>
      </c>
      <c r="N37" s="34">
        <v>0.12</v>
      </c>
      <c r="O37" s="34">
        <v>0.44</v>
      </c>
      <c r="P37" s="34">
        <v>0</v>
      </c>
      <c r="Q37" s="34">
        <v>0.44</v>
      </c>
      <c r="R37" s="34">
        <v>0.12</v>
      </c>
      <c r="S37" s="34">
        <v>0.44</v>
      </c>
      <c r="U37" s="35">
        <f t="shared" ref="U37:X37" si="70">L37*$H37+P37*$I37</f>
        <v>0</v>
      </c>
      <c r="V37" s="35">
        <f t="shared" si="70"/>
        <v>2951.52</v>
      </c>
      <c r="W37" s="35">
        <f t="shared" si="70"/>
        <v>804.96</v>
      </c>
      <c r="X37" s="35">
        <f t="shared" si="70"/>
        <v>2951.52</v>
      </c>
      <c r="Z37" s="35">
        <f>MAX(U37-'Faturamento Itaipu'!G34+Z36,0)</f>
        <v>424.06999999999789</v>
      </c>
      <c r="AA37" s="35">
        <f>MAX(V37-'Faturamento Icaraí'!J34+AA36,0)</f>
        <v>45.940000000000282</v>
      </c>
      <c r="AB37" s="35">
        <f>MAX(W37-'Faturamento Laura Jardim'!G23+AB36,0)</f>
        <v>5697.76</v>
      </c>
      <c r="AC37" s="35"/>
    </row>
    <row r="38" spans="1:29" ht="15.75" customHeight="1" x14ac:dyDescent="0.35">
      <c r="A38" s="31">
        <v>45992</v>
      </c>
      <c r="B38" s="32" t="s">
        <v>143</v>
      </c>
      <c r="C38" s="32">
        <v>4968</v>
      </c>
      <c r="D38" s="32">
        <v>3262</v>
      </c>
      <c r="E38" s="32">
        <f t="shared" si="0"/>
        <v>8230</v>
      </c>
      <c r="F38" s="32">
        <v>513</v>
      </c>
      <c r="G38" s="32">
        <v>24</v>
      </c>
      <c r="H38" s="32">
        <f t="shared" ref="H38:I38" si="71">C38-F38</f>
        <v>4455</v>
      </c>
      <c r="I38" s="32">
        <f t="shared" si="71"/>
        <v>3238</v>
      </c>
      <c r="J38" s="33">
        <f t="shared" si="2"/>
        <v>7693</v>
      </c>
      <c r="K38" s="21"/>
      <c r="L38" s="34">
        <v>0</v>
      </c>
      <c r="M38" s="34">
        <v>0.44</v>
      </c>
      <c r="N38" s="34">
        <v>0.12</v>
      </c>
      <c r="O38" s="34">
        <v>0.44</v>
      </c>
      <c r="P38" s="34">
        <v>0</v>
      </c>
      <c r="Q38" s="34">
        <v>0.44</v>
      </c>
      <c r="R38" s="34">
        <v>0.12</v>
      </c>
      <c r="S38" s="34">
        <v>0.44</v>
      </c>
      <c r="U38" s="35">
        <f t="shared" ref="U38:X38" si="72">L38*$H38+P38*$I38</f>
        <v>0</v>
      </c>
      <c r="V38" s="35">
        <f t="shared" si="72"/>
        <v>3384.92</v>
      </c>
      <c r="W38" s="35">
        <f t="shared" si="72"/>
        <v>923.16000000000008</v>
      </c>
      <c r="X38" s="35">
        <f t="shared" si="72"/>
        <v>3384.92</v>
      </c>
      <c r="Z38" s="35">
        <f>MAX(U38-'Faturamento Itaipu'!G35+Z37,0)</f>
        <v>424.06999999999789</v>
      </c>
      <c r="AA38" s="35">
        <f>MAX(V38-'Faturamento Icaraí'!J35+AA37,0)</f>
        <v>46.860000000000355</v>
      </c>
      <c r="AB38" s="35">
        <f>MAX(W38-'Faturamento Laura Jardim'!G24+AB37,0)</f>
        <v>5376.92</v>
      </c>
      <c r="AC38" s="35"/>
    </row>
    <row r="39" spans="1:29" ht="15.75" customHeight="1" x14ac:dyDescent="0.35">
      <c r="A39" s="31">
        <v>46023</v>
      </c>
      <c r="B39" s="32" t="s">
        <v>144</v>
      </c>
      <c r="C39" s="32">
        <v>6868</v>
      </c>
      <c r="D39" s="32">
        <v>3875</v>
      </c>
      <c r="E39" s="32">
        <f t="shared" si="0"/>
        <v>10743</v>
      </c>
      <c r="F39" s="32">
        <v>72</v>
      </c>
      <c r="G39" s="32">
        <v>0</v>
      </c>
      <c r="H39" s="32">
        <f t="shared" ref="H39:I39" si="73">C39-F39</f>
        <v>6796</v>
      </c>
      <c r="I39" s="32">
        <f t="shared" si="73"/>
        <v>3875</v>
      </c>
      <c r="J39" s="33">
        <f t="shared" si="2"/>
        <v>10671</v>
      </c>
      <c r="K39" s="21"/>
      <c r="L39" s="34">
        <v>0</v>
      </c>
      <c r="M39" s="34">
        <v>0.44</v>
      </c>
      <c r="N39" s="34">
        <v>0.12</v>
      </c>
      <c r="O39" s="34">
        <v>0.44</v>
      </c>
      <c r="P39" s="34">
        <v>0</v>
      </c>
      <c r="Q39" s="34">
        <v>0.44</v>
      </c>
      <c r="R39" s="34">
        <v>0.12</v>
      </c>
      <c r="S39" s="34">
        <v>0.44</v>
      </c>
      <c r="U39" s="35">
        <f t="shared" ref="U39:X39" si="74">L39*$H39+P39*$I39</f>
        <v>0</v>
      </c>
      <c r="V39" s="35">
        <f t="shared" si="74"/>
        <v>4695.24</v>
      </c>
      <c r="W39" s="35">
        <f t="shared" si="74"/>
        <v>1280.52</v>
      </c>
      <c r="X39" s="35">
        <f t="shared" si="74"/>
        <v>4695.24</v>
      </c>
      <c r="Z39" s="35">
        <f>MAX(U39-'Faturamento Itaipu'!G36+Z38,0)</f>
        <v>424.06999999999789</v>
      </c>
      <c r="AA39" s="35">
        <f>MAX(V39-'Faturamento Icaraí'!J36+AA38,0)</f>
        <v>47.100000000000136</v>
      </c>
      <c r="AB39" s="35">
        <f>MAX(W39-'Faturamento Laura Jardim'!G25+AB38,0)</f>
        <v>5592.4400000000005</v>
      </c>
      <c r="AC39" s="35"/>
    </row>
    <row r="40" spans="1:29" ht="15.75" customHeight="1" x14ac:dyDescent="0.35">
      <c r="A40" s="31">
        <v>46054</v>
      </c>
      <c r="B40" s="32" t="s">
        <v>146</v>
      </c>
      <c r="C40" s="32">
        <v>4439</v>
      </c>
      <c r="D40" s="32">
        <v>2674</v>
      </c>
      <c r="E40" s="32">
        <f t="shared" si="0"/>
        <v>7113</v>
      </c>
      <c r="F40" s="32">
        <v>215</v>
      </c>
      <c r="G40" s="32">
        <v>49</v>
      </c>
      <c r="H40" s="32">
        <f t="shared" ref="H40:I40" si="75">C40-F40</f>
        <v>4224</v>
      </c>
      <c r="I40" s="32">
        <f t="shared" si="75"/>
        <v>2625</v>
      </c>
      <c r="J40" s="33">
        <f t="shared" si="2"/>
        <v>6849</v>
      </c>
      <c r="K40" s="21"/>
      <c r="L40" s="34">
        <v>0</v>
      </c>
      <c r="M40" s="34">
        <v>0.44</v>
      </c>
      <c r="N40" s="34">
        <v>0.12</v>
      </c>
      <c r="O40" s="34">
        <v>0.44</v>
      </c>
      <c r="P40" s="34">
        <v>0</v>
      </c>
      <c r="Q40" s="34">
        <v>0.44</v>
      </c>
      <c r="R40" s="34">
        <v>0.12</v>
      </c>
      <c r="S40" s="34">
        <v>0.44</v>
      </c>
      <c r="U40" s="35">
        <f t="shared" ref="U40:X40" si="76">L40*$H40+P40*$I40</f>
        <v>0</v>
      </c>
      <c r="V40" s="35">
        <f t="shared" si="76"/>
        <v>3013.56</v>
      </c>
      <c r="W40" s="35">
        <f t="shared" si="76"/>
        <v>821.88</v>
      </c>
      <c r="X40" s="35">
        <f t="shared" si="76"/>
        <v>3013.56</v>
      </c>
      <c r="Z40" s="35">
        <f>MAX(U40-'Faturamento Itaipu'!G37+Z39,0)</f>
        <v>424.06999999999789</v>
      </c>
      <c r="AA40" s="35">
        <f>MAX(V40-'Faturamento Icaraí'!J37+AA39,0)</f>
        <v>47.660000000000082</v>
      </c>
      <c r="AB40" s="35">
        <f>MAX(W40-'Faturamento Laura Jardim'!G26+AB39,0)</f>
        <v>5226.3200000000006</v>
      </c>
    </row>
    <row r="41" spans="1:29" ht="15.75" customHeight="1" x14ac:dyDescent="0.35">
      <c r="A41" s="31">
        <v>46082</v>
      </c>
      <c r="B41" s="32" t="s">
        <v>147</v>
      </c>
      <c r="C41" s="32">
        <v>4747</v>
      </c>
      <c r="D41" s="32">
        <v>3086</v>
      </c>
      <c r="E41" s="32">
        <f t="shared" si="0"/>
        <v>7833</v>
      </c>
      <c r="F41" s="32">
        <v>567</v>
      </c>
      <c r="G41" s="32">
        <v>46</v>
      </c>
      <c r="H41" s="32">
        <f t="shared" ref="H41:I41" si="77">C41-F41</f>
        <v>4180</v>
      </c>
      <c r="I41" s="32">
        <f t="shared" si="77"/>
        <v>3040</v>
      </c>
      <c r="J41" s="33">
        <f t="shared" si="2"/>
        <v>7220</v>
      </c>
      <c r="K41" s="21"/>
      <c r="L41" s="34">
        <v>0</v>
      </c>
      <c r="M41" s="34">
        <v>0.44</v>
      </c>
      <c r="N41" s="34">
        <v>0.12</v>
      </c>
      <c r="O41" s="34">
        <v>0.44</v>
      </c>
      <c r="P41" s="34">
        <v>0</v>
      </c>
      <c r="Q41" s="34">
        <v>0.44</v>
      </c>
      <c r="R41" s="34">
        <v>0.12</v>
      </c>
      <c r="S41" s="34">
        <v>0.44</v>
      </c>
      <c r="U41" s="35">
        <f t="shared" ref="U41:X41" si="78">L41*$H41+P41*$I41</f>
        <v>0</v>
      </c>
      <c r="V41" s="35">
        <f t="shared" si="78"/>
        <v>3176.8</v>
      </c>
      <c r="W41" s="35">
        <f t="shared" si="78"/>
        <v>866.4</v>
      </c>
      <c r="X41" s="35">
        <f t="shared" si="78"/>
        <v>3176.8</v>
      </c>
      <c r="Z41" s="35">
        <f>MAX(U41-'Faturamento Itaipu'!G38+Z40,0)</f>
        <v>424.06999999999789</v>
      </c>
      <c r="AA41" s="35">
        <f>MAX(V41-'Faturamento Icaraí'!J38+AA40,0)</f>
        <v>48.460000000000264</v>
      </c>
      <c r="AB41" s="35">
        <f>MAX(W41-'Faturamento Laura Jardim'!G27+AB40,0)</f>
        <v>4900.72</v>
      </c>
    </row>
    <row r="42" spans="1:29" ht="15.75" customHeight="1" x14ac:dyDescent="0.35">
      <c r="A42" s="31">
        <v>46113</v>
      </c>
      <c r="B42" s="32" t="s">
        <v>148</v>
      </c>
      <c r="C42" s="32">
        <v>3234</v>
      </c>
      <c r="D42" s="32">
        <v>2541</v>
      </c>
      <c r="E42" s="32">
        <f t="shared" si="0"/>
        <v>5775</v>
      </c>
      <c r="F42" s="32">
        <v>620</v>
      </c>
      <c r="G42" s="32">
        <v>113</v>
      </c>
      <c r="H42" s="32">
        <f t="shared" ref="H42:I42" si="79">C42-F42</f>
        <v>2614</v>
      </c>
      <c r="I42" s="32">
        <f t="shared" si="79"/>
        <v>2428</v>
      </c>
      <c r="J42" s="33">
        <f t="shared" si="2"/>
        <v>5042</v>
      </c>
      <c r="K42" s="21"/>
      <c r="L42" s="34">
        <v>0</v>
      </c>
      <c r="M42" s="34">
        <v>0.44</v>
      </c>
      <c r="N42" s="34">
        <v>0.12</v>
      </c>
      <c r="O42" s="34">
        <v>0.44</v>
      </c>
      <c r="P42" s="34">
        <v>0</v>
      </c>
      <c r="Q42" s="34">
        <v>0.44</v>
      </c>
      <c r="R42" s="34">
        <v>0.12</v>
      </c>
      <c r="S42" s="34">
        <v>0.44</v>
      </c>
      <c r="U42" s="35">
        <f t="shared" ref="U42:X42" si="80">L42*$H42+P42*$I42</f>
        <v>0</v>
      </c>
      <c r="V42" s="35">
        <f t="shared" si="80"/>
        <v>2218.48</v>
      </c>
      <c r="W42" s="35">
        <f t="shared" si="80"/>
        <v>605.04</v>
      </c>
      <c r="X42" s="35">
        <f t="shared" si="80"/>
        <v>2218.48</v>
      </c>
      <c r="Z42" s="35">
        <f>MAX(U42-'Faturamento Itaipu'!G39+Z41,0)</f>
        <v>424.06999999999789</v>
      </c>
      <c r="AA42" s="35">
        <f>MAX(V42-'Faturamento Icaraí'!J39+AA41,0)</f>
        <v>48.940000000000282</v>
      </c>
      <c r="AB42" s="35">
        <f>MAX(W42-'Faturamento Laura Jardim'!G28+AB41,0)</f>
        <v>4276.76</v>
      </c>
    </row>
    <row r="43" spans="1:29" ht="15.75" customHeight="1" x14ac:dyDescent="0.35">
      <c r="A43" s="31">
        <v>46143</v>
      </c>
      <c r="B43" s="32" t="s">
        <v>149</v>
      </c>
      <c r="C43" s="32">
        <v>2819</v>
      </c>
      <c r="D43" s="32">
        <v>2286</v>
      </c>
      <c r="E43" s="32">
        <f t="shared" si="0"/>
        <v>5105</v>
      </c>
      <c r="F43" s="32">
        <v>568</v>
      </c>
      <c r="G43" s="32">
        <v>62</v>
      </c>
      <c r="H43" s="32">
        <f t="shared" ref="H43:I43" si="81">C43-F43</f>
        <v>2251</v>
      </c>
      <c r="I43" s="32">
        <f t="shared" si="81"/>
        <v>2224</v>
      </c>
      <c r="J43" s="33">
        <f t="shared" si="2"/>
        <v>4475</v>
      </c>
      <c r="K43" s="21"/>
      <c r="L43" s="34">
        <v>0</v>
      </c>
      <c r="M43" s="34">
        <v>0.44</v>
      </c>
      <c r="N43" s="34">
        <v>0.12</v>
      </c>
      <c r="O43" s="34">
        <v>0.44</v>
      </c>
      <c r="P43" s="34">
        <v>0</v>
      </c>
      <c r="Q43" s="34">
        <v>0.44</v>
      </c>
      <c r="R43" s="34">
        <v>0.12</v>
      </c>
      <c r="S43" s="34">
        <v>0.44</v>
      </c>
      <c r="U43" s="35">
        <f t="shared" ref="U43:X43" si="82">L43*$H43+P43*$I43</f>
        <v>0</v>
      </c>
      <c r="V43" s="35">
        <f t="shared" si="82"/>
        <v>1969</v>
      </c>
      <c r="W43" s="35">
        <f t="shared" si="82"/>
        <v>537</v>
      </c>
      <c r="X43" s="35">
        <f t="shared" si="82"/>
        <v>1969</v>
      </c>
      <c r="Z43" s="35">
        <f>MAX(U43-'Faturamento Itaipu'!G40+Z42,0)</f>
        <v>424.06999999999789</v>
      </c>
      <c r="AA43" s="35">
        <f>MAX(V43-'Faturamento Icaraí'!J40+AA42,0)</f>
        <v>48.940000000000282</v>
      </c>
      <c r="AB43" s="35">
        <f>MAX(W43-'Faturamento Laura Jardim'!G29+AB42,0)</f>
        <v>3542.76</v>
      </c>
    </row>
    <row r="44" spans="1:29" ht="15.75" customHeight="1" x14ac:dyDescent="0.35">
      <c r="A44" s="31">
        <v>46174</v>
      </c>
      <c r="B44" s="32" t="s">
        <v>150</v>
      </c>
      <c r="C44" s="32">
        <v>1998</v>
      </c>
      <c r="D44" s="32">
        <v>1686</v>
      </c>
      <c r="E44" s="32">
        <f t="shared" si="0"/>
        <v>3684</v>
      </c>
      <c r="F44" s="32">
        <v>550</v>
      </c>
      <c r="G44" s="32">
        <v>22</v>
      </c>
      <c r="H44" s="32">
        <f t="shared" ref="H44:I44" si="83">C44-F44</f>
        <v>1448</v>
      </c>
      <c r="I44" s="32">
        <f t="shared" si="83"/>
        <v>1664</v>
      </c>
      <c r="J44" s="33">
        <f t="shared" si="2"/>
        <v>3112</v>
      </c>
      <c r="K44" s="21"/>
      <c r="L44" s="34">
        <v>0</v>
      </c>
      <c r="M44" s="34">
        <v>0.44</v>
      </c>
      <c r="N44" s="34">
        <v>0.12</v>
      </c>
      <c r="O44" s="34">
        <v>0.44</v>
      </c>
      <c r="P44" s="34">
        <v>0</v>
      </c>
      <c r="Q44" s="34">
        <v>0.44</v>
      </c>
      <c r="R44" s="34">
        <v>0.12</v>
      </c>
      <c r="S44" s="34">
        <v>0.44</v>
      </c>
      <c r="U44" s="35">
        <f t="shared" ref="U44:X44" si="84">L44*$H44+P44*$I44</f>
        <v>0</v>
      </c>
      <c r="V44" s="35">
        <f t="shared" si="84"/>
        <v>1369.28</v>
      </c>
      <c r="W44" s="35">
        <f t="shared" si="84"/>
        <v>373.44</v>
      </c>
      <c r="X44" s="35">
        <f t="shared" si="84"/>
        <v>1369.28</v>
      </c>
      <c r="Z44" s="35">
        <f>MAX(U44-'Faturamento Itaipu'!G41+Z43,0)</f>
        <v>424.06999999999789</v>
      </c>
      <c r="AA44" s="35">
        <f>MAX(V44-'Faturamento Icaraí'!J41+AA43,0)</f>
        <v>49.220000000000255</v>
      </c>
      <c r="AB44" s="35">
        <f>MAX(W44-'Faturamento Laura Jardim'!G30+AB43,0)</f>
        <v>2806.2000000000003</v>
      </c>
    </row>
    <row r="45" spans="1:29" ht="15.75" customHeight="1" x14ac:dyDescent="0.35">
      <c r="A45" s="31">
        <v>46204</v>
      </c>
      <c r="B45" s="32" t="s">
        <v>151</v>
      </c>
      <c r="C45" s="32">
        <v>1930</v>
      </c>
      <c r="D45" s="32">
        <v>1605</v>
      </c>
      <c r="E45" s="32">
        <f t="shared" si="0"/>
        <v>3535</v>
      </c>
      <c r="F45" s="32">
        <v>367</v>
      </c>
      <c r="G45" s="32">
        <v>13</v>
      </c>
      <c r="H45" s="32">
        <f t="shared" ref="H45:I45" si="85">C45-F45</f>
        <v>1563</v>
      </c>
      <c r="I45" s="32">
        <f t="shared" si="85"/>
        <v>1592</v>
      </c>
      <c r="J45" s="33">
        <f t="shared" si="2"/>
        <v>3155</v>
      </c>
      <c r="K45" s="21"/>
      <c r="L45" s="34">
        <v>0</v>
      </c>
      <c r="M45" s="34">
        <v>0.44</v>
      </c>
      <c r="N45" s="34">
        <v>0.12</v>
      </c>
      <c r="O45" s="34">
        <v>0.44</v>
      </c>
      <c r="P45" s="34">
        <v>0</v>
      </c>
      <c r="Q45" s="34">
        <v>0.44</v>
      </c>
      <c r="R45" s="34">
        <v>0.12</v>
      </c>
      <c r="S45" s="34">
        <v>0.44</v>
      </c>
      <c r="U45" s="35">
        <f t="shared" ref="U45:X45" si="86">L45*$H45+P45*$I45</f>
        <v>0</v>
      </c>
      <c r="V45" s="35">
        <f t="shared" si="86"/>
        <v>1388.2</v>
      </c>
      <c r="W45" s="35">
        <f t="shared" si="86"/>
        <v>378.6</v>
      </c>
      <c r="X45" s="35">
        <f t="shared" si="86"/>
        <v>1388.2</v>
      </c>
      <c r="Z45" s="35">
        <f>MAX(U45-'Faturamento Itaipu'!G42+Z44,0)</f>
        <v>424.06999999999789</v>
      </c>
      <c r="AA45" s="35">
        <f>MAX(V45-'Faturamento Icaraí'!J42+AA44,0)</f>
        <v>49.4200000000003</v>
      </c>
      <c r="AB45" s="35">
        <f>MAX(W45-'Faturamento Laura Jardim'!G31+AB44,0)</f>
        <v>1910.8000000000002</v>
      </c>
    </row>
    <row r="46" spans="1:29" ht="15.75" customHeight="1" x14ac:dyDescent="0.35">
      <c r="A46" s="31">
        <v>46235</v>
      </c>
      <c r="B46" s="32" t="s">
        <v>228</v>
      </c>
      <c r="C46" s="32">
        <v>3201</v>
      </c>
      <c r="D46" s="32">
        <v>2419</v>
      </c>
      <c r="E46" s="32">
        <f t="shared" ref="E46" si="87">D46+C46</f>
        <v>5620</v>
      </c>
      <c r="F46" s="32">
        <v>285</v>
      </c>
      <c r="G46" s="32">
        <v>0</v>
      </c>
      <c r="H46" s="32">
        <f t="shared" ref="H46" si="88">C46-F46</f>
        <v>2916</v>
      </c>
      <c r="I46" s="32">
        <f t="shared" ref="I46" si="89">D46-G46</f>
        <v>2419</v>
      </c>
      <c r="J46" s="33">
        <f t="shared" ref="J46" si="90">SUM(H46:I46)</f>
        <v>5335</v>
      </c>
      <c r="K46" s="21"/>
      <c r="L46" s="34">
        <v>0</v>
      </c>
      <c r="M46" s="34">
        <v>0.44</v>
      </c>
      <c r="N46" s="34">
        <v>0.12</v>
      </c>
      <c r="O46" s="34">
        <v>0.44</v>
      </c>
      <c r="P46" s="34">
        <v>0</v>
      </c>
      <c r="Q46" s="34">
        <v>0.44</v>
      </c>
      <c r="R46" s="34">
        <v>0.12</v>
      </c>
      <c r="S46" s="34">
        <v>0.44</v>
      </c>
      <c r="U46" s="35">
        <f t="shared" ref="U46" si="91">L46*$H46+P46*$I46</f>
        <v>0</v>
      </c>
      <c r="V46" s="35">
        <f t="shared" ref="V46" si="92">M46*$H46+Q46*$I46</f>
        <v>2347.3999999999996</v>
      </c>
      <c r="W46" s="35">
        <f t="shared" ref="W46" si="93">N46*$H46+R46*$I46</f>
        <v>640.19999999999993</v>
      </c>
      <c r="X46" s="35">
        <f t="shared" ref="X46" si="94">O46*$H46+S46*$I46</f>
        <v>2347.3999999999996</v>
      </c>
      <c r="Z46" s="35">
        <f>MAX(U46-'Faturamento Itaipu'!G43+Z45,0)</f>
        <v>424.06999999999789</v>
      </c>
      <c r="AA46" s="35">
        <f>MAX(V46-'Faturamento Icaraí'!J43+AA45,0)</f>
        <v>49.819999999999936</v>
      </c>
      <c r="AB46" s="35">
        <f>MAX(W46-'Faturamento Laura Jardim'!G32+AB45,0)</f>
        <v>1530</v>
      </c>
    </row>
    <row r="47" spans="1:29" ht="15.75" customHeight="1" x14ac:dyDescent="0.35"/>
    <row r="48" spans="1:2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AF1000"/>
  <sheetViews>
    <sheetView topLeftCell="L15" workbookViewId="0">
      <selection activeCell="T26" sqref="T26"/>
    </sheetView>
  </sheetViews>
  <sheetFormatPr defaultColWidth="14.453125" defaultRowHeight="15" customHeight="1" x14ac:dyDescent="0.35"/>
  <cols>
    <col min="1" max="1" width="17.26953125" customWidth="1"/>
    <col min="2" max="2" width="13.1796875" customWidth="1"/>
    <col min="3" max="4" width="11.1796875" customWidth="1"/>
    <col min="5" max="5" width="9.26953125" customWidth="1"/>
    <col min="6" max="6" width="19.26953125" customWidth="1"/>
    <col min="7" max="7" width="8.7265625" customWidth="1"/>
    <col min="8" max="8" width="17.26953125" customWidth="1"/>
    <col min="9" max="9" width="12.7265625" customWidth="1"/>
    <col min="10" max="10" width="23.453125" customWidth="1"/>
    <col min="11" max="11" width="19.1796875" customWidth="1"/>
    <col min="12" max="13" width="13.54296875" customWidth="1"/>
    <col min="14" max="14" width="11.54296875" customWidth="1"/>
    <col min="15" max="15" width="19.7265625" customWidth="1"/>
    <col min="16" max="16" width="11.54296875" customWidth="1"/>
    <col min="17" max="17" width="19.7265625" customWidth="1"/>
    <col min="18" max="19" width="10.81640625" customWidth="1"/>
    <col min="20" max="21" width="28" customWidth="1"/>
    <col min="22" max="22" width="19.7265625" customWidth="1"/>
    <col min="23" max="23" width="8.7265625" customWidth="1"/>
    <col min="24" max="24" width="19.7265625" customWidth="1"/>
    <col min="25" max="25" width="8.7265625" customWidth="1"/>
    <col min="26" max="26" width="28" customWidth="1"/>
    <col min="27" max="27" width="113.26953125" customWidth="1"/>
    <col min="28" max="28" width="104.453125" customWidth="1"/>
    <col min="29" max="29" width="69.54296875" customWidth="1"/>
    <col min="30" max="30" width="89.26953125" customWidth="1"/>
    <col min="31" max="31" width="88.81640625" customWidth="1"/>
    <col min="32" max="32" width="87.81640625" customWidth="1"/>
  </cols>
  <sheetData>
    <row r="1" spans="1:32" ht="14.5" x14ac:dyDescent="0.35">
      <c r="A1" s="38" t="s">
        <v>75</v>
      </c>
      <c r="B1" s="38" t="s">
        <v>87</v>
      </c>
      <c r="C1" s="38" t="s">
        <v>88</v>
      </c>
      <c r="D1" s="38" t="s">
        <v>89</v>
      </c>
      <c r="E1" s="38" t="s">
        <v>77</v>
      </c>
      <c r="F1" s="38" t="s">
        <v>90</v>
      </c>
      <c r="H1" s="38" t="s">
        <v>75</v>
      </c>
      <c r="I1" s="38" t="s">
        <v>91</v>
      </c>
      <c r="J1" s="38" t="s">
        <v>92</v>
      </c>
      <c r="K1" s="38" t="s">
        <v>93</v>
      </c>
      <c r="L1" s="38" t="s">
        <v>94</v>
      </c>
      <c r="M1" s="38" t="s">
        <v>95</v>
      </c>
      <c r="N1" s="38" t="s">
        <v>96</v>
      </c>
      <c r="O1" s="38" t="s">
        <v>97</v>
      </c>
      <c r="P1" s="38" t="s">
        <v>98</v>
      </c>
      <c r="Q1" s="38" t="s">
        <v>100</v>
      </c>
      <c r="R1" s="38" t="s">
        <v>101</v>
      </c>
      <c r="S1" s="38" t="s">
        <v>102</v>
      </c>
      <c r="T1" s="38" t="s">
        <v>103</v>
      </c>
      <c r="U1" s="38" t="s">
        <v>104</v>
      </c>
      <c r="V1" s="12"/>
      <c r="X1" s="12" t="s">
        <v>97</v>
      </c>
      <c r="AA1" s="39">
        <v>45597</v>
      </c>
      <c r="AB1" s="39">
        <v>45689</v>
      </c>
      <c r="AC1" s="39">
        <v>45717</v>
      </c>
      <c r="AD1" s="39">
        <v>45748</v>
      </c>
      <c r="AE1" s="39">
        <v>45778</v>
      </c>
      <c r="AF1" s="39">
        <v>45809</v>
      </c>
    </row>
    <row r="2" spans="1:32" ht="14.5" x14ac:dyDescent="0.35">
      <c r="A2" s="40">
        <v>45505</v>
      </c>
      <c r="B2" s="41">
        <v>45525</v>
      </c>
      <c r="C2" s="1"/>
      <c r="D2" s="1"/>
      <c r="E2" s="42">
        <v>56752</v>
      </c>
      <c r="F2" s="42"/>
      <c r="H2" s="40">
        <f t="shared" ref="H2:H25" si="0">A2</f>
        <v>45505</v>
      </c>
      <c r="I2" s="41">
        <f t="shared" ref="I2:I25" si="1">DATE(YEAR(H2),MONTH(H2),15)</f>
        <v>45519</v>
      </c>
      <c r="J2" s="43">
        <f t="array" ref="J2">MIN(_xlfn.XLOOKUP($H2,$A$2:$A$12,$F$2:$F$12))</f>
        <v>0</v>
      </c>
      <c r="K2" s="43"/>
      <c r="L2" s="42"/>
      <c r="M2" s="42"/>
      <c r="N2" s="42"/>
      <c r="O2" s="1"/>
      <c r="P2" s="42"/>
      <c r="Q2" s="1"/>
      <c r="R2" s="1"/>
      <c r="S2" s="1"/>
      <c r="T2" s="1"/>
      <c r="U2" s="1"/>
      <c r="AA2" s="12" t="s">
        <v>105</v>
      </c>
      <c r="AB2" s="12" t="s">
        <v>106</v>
      </c>
      <c r="AC2" s="12" t="s">
        <v>107</v>
      </c>
      <c r="AD2" s="12" t="s">
        <v>108</v>
      </c>
      <c r="AE2" s="12" t="s">
        <v>109</v>
      </c>
      <c r="AF2" s="12" t="s">
        <v>110</v>
      </c>
    </row>
    <row r="3" spans="1:32" ht="14.5" x14ac:dyDescent="0.35">
      <c r="A3" s="40">
        <v>45536</v>
      </c>
      <c r="B3" s="41">
        <v>45559</v>
      </c>
      <c r="C3" s="1"/>
      <c r="D3" s="1"/>
      <c r="E3" s="42">
        <v>59905</v>
      </c>
      <c r="F3" s="42">
        <f t="shared" ref="F3:F25" si="2">B3-B2</f>
        <v>34</v>
      </c>
      <c r="H3" s="40">
        <f t="shared" si="0"/>
        <v>45536</v>
      </c>
      <c r="I3" s="41">
        <f t="shared" si="1"/>
        <v>45550</v>
      </c>
      <c r="J3" s="43">
        <f t="shared" ref="J3:J12" si="3">MIN(_xlfn.XLOOKUP($H3,$A$2:$A$12,$B$2:$B$12))-I3</f>
        <v>9</v>
      </c>
      <c r="K3" s="43">
        <f t="shared" ref="K3:K25" si="4">F3-J3</f>
        <v>25</v>
      </c>
      <c r="L3" s="42"/>
      <c r="M3" s="42"/>
      <c r="N3" s="42"/>
      <c r="O3" s="1"/>
      <c r="P3" s="1"/>
      <c r="Q3" s="1"/>
      <c r="R3" s="1"/>
      <c r="S3" s="1"/>
      <c r="T3" s="1"/>
      <c r="U3" s="1"/>
      <c r="Z3" s="12" t="s">
        <v>94</v>
      </c>
      <c r="AA3" s="44">
        <f>C5-C4</f>
        <v>5712</v>
      </c>
      <c r="AB3" s="44">
        <f>C8-C7</f>
        <v>6570</v>
      </c>
      <c r="AC3" s="44">
        <f>C9-C8</f>
        <v>4210</v>
      </c>
      <c r="AD3" s="44">
        <f>$C10-$C9</f>
        <v>4287</v>
      </c>
      <c r="AE3" s="44">
        <f>$C11-$C10</f>
        <v>1378</v>
      </c>
      <c r="AF3" s="44">
        <f>$C12-$C11</f>
        <v>2366</v>
      </c>
    </row>
    <row r="4" spans="1:32" ht="15" customHeight="1" x14ac:dyDescent="0.35">
      <c r="A4" s="40">
        <v>45566</v>
      </c>
      <c r="B4" s="41">
        <v>45581</v>
      </c>
      <c r="C4" s="42">
        <v>82589</v>
      </c>
      <c r="D4" s="42">
        <v>36994</v>
      </c>
      <c r="E4" s="42">
        <v>61944</v>
      </c>
      <c r="F4" s="42">
        <f t="shared" si="2"/>
        <v>22</v>
      </c>
      <c r="H4" s="40">
        <f t="shared" si="0"/>
        <v>45566</v>
      </c>
      <c r="I4" s="41">
        <f t="shared" si="1"/>
        <v>45580</v>
      </c>
      <c r="J4" s="43">
        <f t="shared" si="3"/>
        <v>1</v>
      </c>
      <c r="K4" s="43">
        <f t="shared" si="4"/>
        <v>21</v>
      </c>
      <c r="L4" s="42">
        <f t="array" ref="L4">_xlfn.XLOOKUP($H4,$A:$A,$C:$C)-_xlfn.XLOOKUP($H3,$A:$A,$C:$C)</f>
        <v>82589</v>
      </c>
      <c r="M4" s="42">
        <f t="array" ref="M4">_xlfn.XLOOKUP($H4,$A:$A,$D:$D)-_xlfn.XLOOKUP($H3,$A:$A,$D:$D)</f>
        <v>36994</v>
      </c>
      <c r="N4" s="42">
        <f t="shared" ref="N4:N25" si="5">M4+L4</f>
        <v>119583</v>
      </c>
      <c r="O4" s="1"/>
      <c r="P4" s="42">
        <f t="array" ref="P4">_xlfn.XLOOKUP($H4,$A:$A,$E:$E)-_xlfn.XLOOKUP($H3,$A:$A,$E:$E)</f>
        <v>2039</v>
      </c>
      <c r="Q4" s="1"/>
      <c r="R4" s="42">
        <f t="array" ref="R4">_xlfn.XLOOKUP($H4,'Créditos CP'!A:A,'Créditos CP'!C:C)</f>
        <v>4114</v>
      </c>
      <c r="S4" s="42">
        <f t="array" ref="S4">_xlfn.XLOOKUP($H4,'Créditos CP'!A:A,'Créditos CP'!D:D)</f>
        <v>2513</v>
      </c>
      <c r="T4" s="1"/>
      <c r="U4" s="1"/>
      <c r="Z4" s="12" t="s">
        <v>95</v>
      </c>
      <c r="AA4" s="44">
        <f>D5-D4</f>
        <v>2592</v>
      </c>
      <c r="AB4" s="44">
        <f>D8-D7</f>
        <v>3329</v>
      </c>
      <c r="AC4" s="44">
        <f>D9-D8</f>
        <v>2087</v>
      </c>
      <c r="AD4" s="44">
        <f>$D10-$D9</f>
        <v>2063</v>
      </c>
      <c r="AE4" s="44">
        <f>$D11-$D10</f>
        <v>668</v>
      </c>
      <c r="AF4" s="44">
        <f>$D12-$D11</f>
        <v>1148</v>
      </c>
    </row>
    <row r="5" spans="1:32" ht="15" customHeight="1" x14ac:dyDescent="0.35">
      <c r="A5" s="40">
        <v>45597</v>
      </c>
      <c r="B5" s="41">
        <v>45621</v>
      </c>
      <c r="C5" s="42">
        <v>88301</v>
      </c>
      <c r="D5" s="42">
        <v>39586</v>
      </c>
      <c r="E5" s="42">
        <v>65615</v>
      </c>
      <c r="F5" s="42">
        <f t="shared" si="2"/>
        <v>40</v>
      </c>
      <c r="H5" s="40">
        <f t="shared" si="0"/>
        <v>45597</v>
      </c>
      <c r="I5" s="41">
        <f t="shared" si="1"/>
        <v>45611</v>
      </c>
      <c r="J5" s="43">
        <f t="shared" si="3"/>
        <v>10</v>
      </c>
      <c r="K5" s="43">
        <f t="shared" si="4"/>
        <v>30</v>
      </c>
      <c r="L5" s="42">
        <f t="array" ref="L5">_xlfn.XLOOKUP($H5,$A:$A,$C:$C)-_xlfn.XLOOKUP($H4,$A:$A,$C:$C)</f>
        <v>5712</v>
      </c>
      <c r="M5" s="42">
        <f t="array" ref="M5">_xlfn.XLOOKUP($H5,$A:$A,$D:$D)-_xlfn.XLOOKUP($H4,$A:$A,$D:$D)</f>
        <v>2592</v>
      </c>
      <c r="N5" s="42">
        <f t="shared" si="5"/>
        <v>8304</v>
      </c>
      <c r="O5" s="46">
        <f>$K5/SUM($J5:$K5)*N5</f>
        <v>6228</v>
      </c>
      <c r="P5" s="42">
        <f t="array" ref="P5">_xlfn.XLOOKUP($H5,$A:$A,$E:$E)-_xlfn.XLOOKUP($H4,$A:$A,$E:$E)</f>
        <v>3671</v>
      </c>
      <c r="Q5" s="46">
        <f>$K5/SUM($J5:$K5)*P5</f>
        <v>2753.25</v>
      </c>
      <c r="R5" s="42">
        <f t="array" ref="R5">_xlfn.XLOOKUP($H5,'Créditos CP'!A:A,'Créditos CP'!C:C)</f>
        <v>4046</v>
      </c>
      <c r="S5" s="42">
        <f t="array" ref="S5">_xlfn.XLOOKUP($H5,'Créditos CP'!A:A,'Créditos CP'!D:D)</f>
        <v>2578</v>
      </c>
      <c r="T5" s="47">
        <f t="shared" ref="T5:T25" si="6">O5-R5</f>
        <v>2182</v>
      </c>
      <c r="U5" s="47">
        <f t="shared" ref="U5:U25" si="7">Q5-S5</f>
        <v>175.25</v>
      </c>
      <c r="V5" s="7">
        <f t="shared" ref="V5:V25" si="8">O5+Q5</f>
        <v>8981.25</v>
      </c>
      <c r="X5" s="14"/>
      <c r="Z5" s="12" t="s">
        <v>96</v>
      </c>
      <c r="AA5" s="44">
        <f t="shared" ref="AA5:AB5" si="9">AA3+AA4</f>
        <v>8304</v>
      </c>
      <c r="AB5" s="44">
        <f t="shared" si="9"/>
        <v>9899</v>
      </c>
      <c r="AC5" s="44">
        <f t="shared" ref="AC5:AF5" si="10">AC4+AC3</f>
        <v>6297</v>
      </c>
      <c r="AD5" s="44">
        <f t="shared" si="10"/>
        <v>6350</v>
      </c>
      <c r="AE5" s="44">
        <f t="shared" si="10"/>
        <v>2046</v>
      </c>
      <c r="AF5" s="44">
        <f t="shared" si="10"/>
        <v>3514</v>
      </c>
    </row>
    <row r="6" spans="1:32" ht="15" customHeight="1" x14ac:dyDescent="0.35">
      <c r="A6" s="40">
        <v>45627</v>
      </c>
      <c r="B6" s="41">
        <v>45645</v>
      </c>
      <c r="C6" s="42">
        <v>92044</v>
      </c>
      <c r="D6" s="42">
        <v>41341</v>
      </c>
      <c r="E6" s="42">
        <v>68819</v>
      </c>
      <c r="F6" s="42">
        <f t="shared" si="2"/>
        <v>24</v>
      </c>
      <c r="H6" s="40">
        <f t="shared" si="0"/>
        <v>45627</v>
      </c>
      <c r="I6" s="41">
        <f t="shared" si="1"/>
        <v>45641</v>
      </c>
      <c r="J6" s="43">
        <f t="shared" si="3"/>
        <v>4</v>
      </c>
      <c r="K6" s="43">
        <f t="shared" si="4"/>
        <v>20</v>
      </c>
      <c r="L6" s="42">
        <f t="array" ref="L6">_xlfn.XLOOKUP($H6,$A:$A,$C:$C)-_xlfn.XLOOKUP($H5,$A:$A,$C:$C)</f>
        <v>3743</v>
      </c>
      <c r="M6" s="42">
        <f t="array" ref="M6">_xlfn.XLOOKUP($H6,$A:$A,$D:$D)-_xlfn.XLOOKUP($H5,$A:$A,$D:$D)</f>
        <v>1755</v>
      </c>
      <c r="N6" s="42">
        <f t="shared" si="5"/>
        <v>5498</v>
      </c>
      <c r="O6" s="46">
        <f t="shared" ref="O6:O25" si="11">$K6/SUM($J6:$K6)*N6+$J5/SUM($J5:$K5)*N5</f>
        <v>6657.666666666667</v>
      </c>
      <c r="P6" s="42">
        <f t="array" ref="P6">_xlfn.XLOOKUP($H6,$A:$A,$E:$E)-_xlfn.XLOOKUP($H5,$A:$A,$E:$E)</f>
        <v>3204</v>
      </c>
      <c r="Q6" s="46">
        <f t="shared" ref="Q6:Q25" si="12">$K6/SUM($J6:$K6)*P6+$J5/SUM($J5:$K5)*P5</f>
        <v>3587.75</v>
      </c>
      <c r="R6" s="42">
        <f t="array" ref="R6">_xlfn.XLOOKUP($H6,'Créditos CP'!A:A,'Créditos CP'!C:C)</f>
        <v>4483</v>
      </c>
      <c r="S6" s="42">
        <f t="array" ref="S6">_xlfn.XLOOKUP($H6,'Créditos CP'!A:A,'Créditos CP'!D:D)</f>
        <v>2813</v>
      </c>
      <c r="T6" s="47">
        <f t="shared" si="6"/>
        <v>2174.666666666667</v>
      </c>
      <c r="U6" s="47">
        <f t="shared" si="7"/>
        <v>774.75</v>
      </c>
      <c r="V6" s="7">
        <f t="shared" si="8"/>
        <v>10245.416666666668</v>
      </c>
      <c r="X6" s="14"/>
      <c r="Z6" s="12" t="s">
        <v>127</v>
      </c>
      <c r="AA6" s="44">
        <f>AA5*3/4</f>
        <v>6228</v>
      </c>
      <c r="AB6" s="12">
        <f>30/(B8-B7)*AB5</f>
        <v>7815</v>
      </c>
      <c r="AC6" s="44">
        <f>AB5-AB6+22/($B9-$B8)*AC5</f>
        <v>7031.6428571428569</v>
      </c>
      <c r="AD6" s="44">
        <f>MAX(AD7,AC5-AC6+23/($B10-$B9)*AD5)</f>
        <v>2995</v>
      </c>
      <c r="AE6" s="44">
        <f>AD5-AD6+11/($B11-$B10)*AE5</f>
        <v>4678.8823529411766</v>
      </c>
      <c r="AF6" s="44">
        <f>AE5-AE6+25/($B12-$B11)*AF5</f>
        <v>-192.60457516339875</v>
      </c>
    </row>
    <row r="7" spans="1:32" ht="15" customHeight="1" x14ac:dyDescent="0.35">
      <c r="A7" s="40">
        <v>45658</v>
      </c>
      <c r="B7" s="41">
        <v>45674</v>
      </c>
      <c r="C7" s="42">
        <v>96279</v>
      </c>
      <c r="D7" s="42">
        <v>43278</v>
      </c>
      <c r="E7" s="42">
        <v>71907</v>
      </c>
      <c r="F7" s="42">
        <f t="shared" si="2"/>
        <v>29</v>
      </c>
      <c r="H7" s="40">
        <f t="shared" si="0"/>
        <v>45658</v>
      </c>
      <c r="I7" s="41">
        <f t="shared" si="1"/>
        <v>45672</v>
      </c>
      <c r="J7" s="43">
        <f t="shared" si="3"/>
        <v>2</v>
      </c>
      <c r="K7" s="43">
        <f t="shared" si="4"/>
        <v>27</v>
      </c>
      <c r="L7" s="42">
        <f t="array" ref="L7">_xlfn.XLOOKUP($H7,$A:$A,$C:$C)-_xlfn.XLOOKUP($H6,$A:$A,$C:$C)</f>
        <v>4235</v>
      </c>
      <c r="M7" s="42">
        <f t="array" ref="M7">_xlfn.XLOOKUP($H7,$A:$A,$D:$D)-_xlfn.XLOOKUP($H6,$A:$A,$D:$D)</f>
        <v>1937</v>
      </c>
      <c r="N7" s="42">
        <f t="shared" si="5"/>
        <v>6172</v>
      </c>
      <c r="O7" s="46">
        <f t="shared" si="11"/>
        <v>6662.6781609195396</v>
      </c>
      <c r="P7" s="42">
        <f t="array" ref="P7">_xlfn.XLOOKUP($H7,$A:$A,$E:$E)-_xlfn.XLOOKUP($H6,$A:$A,$E:$E)</f>
        <v>3088</v>
      </c>
      <c r="Q7" s="46">
        <f t="shared" si="12"/>
        <v>3409.0344827586205</v>
      </c>
      <c r="R7" s="42">
        <f t="array" ref="R7">_xlfn.XLOOKUP($H7,'Créditos CP'!A:A,'Créditos CP'!C:C)</f>
        <v>6633</v>
      </c>
      <c r="S7" s="42">
        <f t="array" ref="S7">_xlfn.XLOOKUP($H7,'Créditos CP'!A:A,'Créditos CP'!D:D)</f>
        <v>3509</v>
      </c>
      <c r="T7" s="47">
        <f t="shared" si="6"/>
        <v>29.67816091953955</v>
      </c>
      <c r="U7" s="47">
        <f t="shared" si="7"/>
        <v>-99.96551724137953</v>
      </c>
      <c r="V7" s="7">
        <f t="shared" si="8"/>
        <v>10071.71264367816</v>
      </c>
      <c r="W7" s="7">
        <f t="shared" ref="W7:W18" si="13">V7/AVERAGE($V$7:$V$18)</f>
        <v>1.2082435996757752</v>
      </c>
      <c r="X7" s="14"/>
      <c r="Z7" s="12" t="s">
        <v>101</v>
      </c>
      <c r="AA7" s="44">
        <f>'Créditos CP'!C25</f>
        <v>4046</v>
      </c>
      <c r="AB7" s="12">
        <f>'Créditos CP'!C28</f>
        <v>6232</v>
      </c>
      <c r="AC7" s="44">
        <f>'Créditos CP'!C29</f>
        <v>5469</v>
      </c>
      <c r="AD7" s="48">
        <f>'Créditos CP'!C30</f>
        <v>2995</v>
      </c>
      <c r="AE7" s="48">
        <f>'Créditos CP'!C31</f>
        <v>2934</v>
      </c>
      <c r="AF7" s="48">
        <f>'Créditos CP'!C32</f>
        <v>2368</v>
      </c>
    </row>
    <row r="8" spans="1:32" ht="15" customHeight="1" x14ac:dyDescent="0.35">
      <c r="A8" s="40">
        <v>45689</v>
      </c>
      <c r="B8" s="41">
        <v>45712</v>
      </c>
      <c r="C8" s="42">
        <v>102849</v>
      </c>
      <c r="D8" s="42">
        <v>46607</v>
      </c>
      <c r="E8" s="42">
        <v>77220</v>
      </c>
      <c r="F8" s="42">
        <f t="shared" si="2"/>
        <v>38</v>
      </c>
      <c r="H8" s="40">
        <f t="shared" si="0"/>
        <v>45689</v>
      </c>
      <c r="I8" s="41">
        <f t="shared" si="1"/>
        <v>45703</v>
      </c>
      <c r="J8" s="43">
        <f t="shared" si="3"/>
        <v>9</v>
      </c>
      <c r="K8" s="43">
        <f t="shared" si="4"/>
        <v>29</v>
      </c>
      <c r="L8" s="42">
        <f t="array" ref="L8">_xlfn.XLOOKUP($H8,$A:$A,$C:$C)-_xlfn.XLOOKUP($H7,$A:$A,$C:$C)</f>
        <v>6570</v>
      </c>
      <c r="M8" s="42">
        <f t="array" ref="M8">_xlfn.XLOOKUP($H8,$A:$A,$D:$D)-_xlfn.XLOOKUP($H7,$A:$A,$D:$D)</f>
        <v>3329</v>
      </c>
      <c r="N8" s="42">
        <f t="shared" si="5"/>
        <v>9899</v>
      </c>
      <c r="O8" s="46">
        <f t="shared" si="11"/>
        <v>7980.1551724137935</v>
      </c>
      <c r="P8" s="42">
        <f t="array" ref="P8">_xlfn.XLOOKUP($H8,$A:$A,$E:$E)-_xlfn.XLOOKUP($H7,$A:$A,$E:$E)</f>
        <v>5313</v>
      </c>
      <c r="Q8" s="46">
        <f t="shared" si="12"/>
        <v>4267.6234119782221</v>
      </c>
      <c r="R8" s="42">
        <f t="array" ref="R8">_xlfn.XLOOKUP($H8,'Créditos CP'!A:A,'Créditos CP'!C:C)</f>
        <v>6232</v>
      </c>
      <c r="S8" s="42">
        <f t="array" ref="S8">_xlfn.XLOOKUP($H8,'Créditos CP'!A:A,'Créditos CP'!D:D)</f>
        <v>3812</v>
      </c>
      <c r="T8" s="47">
        <f t="shared" si="6"/>
        <v>1748.1551724137935</v>
      </c>
      <c r="U8" s="47">
        <f t="shared" si="7"/>
        <v>455.62341197822207</v>
      </c>
      <c r="V8" s="7">
        <f t="shared" si="8"/>
        <v>12247.778584392016</v>
      </c>
      <c r="W8" s="7">
        <f t="shared" si="13"/>
        <v>1.4692933176688987</v>
      </c>
      <c r="X8" s="14"/>
      <c r="Z8" s="12" t="s">
        <v>137</v>
      </c>
      <c r="AA8" s="44">
        <f t="shared" ref="AA8:AF8" si="14">AA5-AA7</f>
        <v>4258</v>
      </c>
      <c r="AB8" s="44">
        <f t="shared" si="14"/>
        <v>3667</v>
      </c>
      <c r="AC8" s="44">
        <f t="shared" si="14"/>
        <v>828</v>
      </c>
      <c r="AD8" s="48">
        <f t="shared" si="14"/>
        <v>3355</v>
      </c>
      <c r="AE8" s="48">
        <f t="shared" si="14"/>
        <v>-888</v>
      </c>
      <c r="AF8" s="48">
        <f t="shared" si="14"/>
        <v>1146</v>
      </c>
    </row>
    <row r="9" spans="1:32" ht="15" customHeight="1" x14ac:dyDescent="0.35">
      <c r="A9" s="40">
        <v>45717</v>
      </c>
      <c r="B9" s="41">
        <v>45740</v>
      </c>
      <c r="C9" s="42">
        <v>107059</v>
      </c>
      <c r="D9" s="42">
        <v>48694</v>
      </c>
      <c r="E9" s="42">
        <v>80560</v>
      </c>
      <c r="F9" s="42">
        <f t="shared" si="2"/>
        <v>28</v>
      </c>
      <c r="H9" s="40">
        <f t="shared" si="0"/>
        <v>45717</v>
      </c>
      <c r="I9" s="41">
        <f t="shared" si="1"/>
        <v>45731</v>
      </c>
      <c r="J9" s="43">
        <f t="shared" si="3"/>
        <v>9</v>
      </c>
      <c r="K9" s="43">
        <f t="shared" si="4"/>
        <v>19</v>
      </c>
      <c r="L9" s="42">
        <f t="array" ref="L9">_xlfn.XLOOKUP($H9,$A:$A,$C:$C)-_xlfn.XLOOKUP($H8,$A:$A,$C:$C)</f>
        <v>4210</v>
      </c>
      <c r="M9" s="42">
        <f t="array" ref="M9">_xlfn.XLOOKUP($H9,$A:$A,$D:$D)-_xlfn.XLOOKUP($H8,$A:$A,$D:$D)</f>
        <v>2087</v>
      </c>
      <c r="N9" s="42">
        <f t="shared" si="5"/>
        <v>6297</v>
      </c>
      <c r="O9" s="46">
        <f t="shared" si="11"/>
        <v>6617.4642857142862</v>
      </c>
      <c r="P9" s="42">
        <f t="array" ref="P9">_xlfn.XLOOKUP($H9,$A:$A,$E:$E)-_xlfn.XLOOKUP($H8,$A:$A,$E:$E)</f>
        <v>3340</v>
      </c>
      <c r="Q9" s="46">
        <f t="shared" si="12"/>
        <v>3524.7706766917295</v>
      </c>
      <c r="R9" s="42">
        <f t="array" ref="R9">_xlfn.XLOOKUP($H9,'Créditos CP'!A:A,'Créditos CP'!C:C)</f>
        <v>5469</v>
      </c>
      <c r="S9" s="42">
        <f t="array" ref="S9">_xlfn.XLOOKUP($H9,'Créditos CP'!A:A,'Créditos CP'!D:D)</f>
        <v>3498</v>
      </c>
      <c r="T9" s="47">
        <f t="shared" si="6"/>
        <v>1148.4642857142862</v>
      </c>
      <c r="U9" s="47">
        <f t="shared" si="7"/>
        <v>26.770676691729477</v>
      </c>
      <c r="V9" s="7">
        <f t="shared" si="8"/>
        <v>10142.234962406015</v>
      </c>
      <c r="W9" s="7">
        <f t="shared" si="13"/>
        <v>1.2167037437696111</v>
      </c>
      <c r="Z9" s="12" t="s">
        <v>103</v>
      </c>
      <c r="AA9" s="44">
        <f t="shared" ref="AA9:AF9" si="15">AA6-AA7</f>
        <v>2182</v>
      </c>
      <c r="AB9" s="44">
        <f t="shared" si="15"/>
        <v>1583</v>
      </c>
      <c r="AC9" s="44">
        <f t="shared" si="15"/>
        <v>1562.6428571428569</v>
      </c>
      <c r="AD9" s="48">
        <f t="shared" si="15"/>
        <v>0</v>
      </c>
      <c r="AE9" s="48">
        <f t="shared" si="15"/>
        <v>1744.8823529411766</v>
      </c>
      <c r="AF9" s="48">
        <f t="shared" si="15"/>
        <v>-2560.6045751633987</v>
      </c>
    </row>
    <row r="10" spans="1:32" ht="15" customHeight="1" x14ac:dyDescent="0.35">
      <c r="A10" s="40">
        <v>45748</v>
      </c>
      <c r="B10" s="41">
        <v>45782</v>
      </c>
      <c r="C10" s="42">
        <v>111346</v>
      </c>
      <c r="D10" s="42">
        <v>50757</v>
      </c>
      <c r="E10" s="42">
        <v>84049</v>
      </c>
      <c r="F10" s="42">
        <f t="shared" si="2"/>
        <v>42</v>
      </c>
      <c r="H10" s="40">
        <f t="shared" si="0"/>
        <v>45748</v>
      </c>
      <c r="I10" s="41">
        <f t="shared" si="1"/>
        <v>45762</v>
      </c>
      <c r="J10" s="43">
        <f t="shared" si="3"/>
        <v>20</v>
      </c>
      <c r="K10" s="43">
        <f t="shared" si="4"/>
        <v>22</v>
      </c>
      <c r="L10" s="42">
        <f t="array" ref="L10">_xlfn.XLOOKUP($H10,$A:$A,$C:$C)-_xlfn.XLOOKUP($H9,$A:$A,$C:$C)</f>
        <v>4287</v>
      </c>
      <c r="M10" s="42">
        <f t="array" ref="M10">_xlfn.XLOOKUP($H10,$A:$A,$D:$D)-_xlfn.XLOOKUP($H9,$A:$A,$D:$D)</f>
        <v>2063</v>
      </c>
      <c r="N10" s="42">
        <f t="shared" si="5"/>
        <v>6350</v>
      </c>
      <c r="O10" s="46">
        <f t="shared" si="11"/>
        <v>5350.2261904761908</v>
      </c>
      <c r="P10" s="42">
        <f t="array" ref="P10">_xlfn.XLOOKUP($H10,$A:$A,$E:$E)-_xlfn.XLOOKUP($H9,$A:$A,$E:$E)</f>
        <v>3489</v>
      </c>
      <c r="Q10" s="46">
        <f t="shared" si="12"/>
        <v>2901.1428571428573</v>
      </c>
      <c r="R10" s="42">
        <f t="array" ref="R10">_xlfn.XLOOKUP($H10,'Créditos CP'!A:A,'Créditos CP'!C:C)</f>
        <v>2995</v>
      </c>
      <c r="S10" s="42">
        <f t="array" ref="S10">_xlfn.XLOOKUP($H10,'Créditos CP'!A:A,'Créditos CP'!D:D)</f>
        <v>2003</v>
      </c>
      <c r="T10" s="47">
        <f t="shared" si="6"/>
        <v>2355.2261904761908</v>
      </c>
      <c r="U10" s="47">
        <f t="shared" si="7"/>
        <v>898.14285714285734</v>
      </c>
      <c r="V10" s="7">
        <f t="shared" si="8"/>
        <v>8251.3690476190477</v>
      </c>
      <c r="W10" s="7">
        <f t="shared" si="13"/>
        <v>0.9898677804917615</v>
      </c>
      <c r="Z10" s="12" t="s">
        <v>98</v>
      </c>
      <c r="AB10" s="44">
        <f>E8-E7</f>
        <v>5313</v>
      </c>
      <c r="AC10" s="44">
        <f>$E$9-$E$8</f>
        <v>3340</v>
      </c>
      <c r="AD10" s="44">
        <f>$E10-$E9</f>
        <v>3489</v>
      </c>
      <c r="AE10" s="44">
        <f>$E11-$E10</f>
        <v>1381</v>
      </c>
      <c r="AF10" s="44">
        <f>$E12-$E11</f>
        <v>2347</v>
      </c>
    </row>
    <row r="11" spans="1:32" ht="15" customHeight="1" x14ac:dyDescent="0.35">
      <c r="A11" s="40">
        <v>45778</v>
      </c>
      <c r="B11" s="41">
        <v>45799</v>
      </c>
      <c r="C11" s="42">
        <v>112724</v>
      </c>
      <c r="D11" s="42">
        <v>51425</v>
      </c>
      <c r="E11" s="42">
        <v>85430</v>
      </c>
      <c r="F11" s="42">
        <f t="shared" si="2"/>
        <v>17</v>
      </c>
      <c r="H11" s="40">
        <f t="shared" si="0"/>
        <v>45778</v>
      </c>
      <c r="I11" s="41">
        <f t="shared" si="1"/>
        <v>45792</v>
      </c>
      <c r="J11" s="43">
        <f t="shared" si="3"/>
        <v>7</v>
      </c>
      <c r="K11" s="43">
        <f t="shared" si="4"/>
        <v>10</v>
      </c>
      <c r="L11" s="42">
        <f t="array" ref="L11">_xlfn.XLOOKUP($H11,$A:$A,$C:$C)-_xlfn.XLOOKUP($H10,$A:$A,$C:$C)</f>
        <v>1378</v>
      </c>
      <c r="M11" s="42">
        <f t="array" ref="M11">_xlfn.XLOOKUP($H11,$A:$A,$D:$D)-_xlfn.XLOOKUP($H10,$A:$A,$D:$D)</f>
        <v>668</v>
      </c>
      <c r="N11" s="42">
        <f t="shared" si="5"/>
        <v>2046</v>
      </c>
      <c r="O11" s="46">
        <f t="shared" si="11"/>
        <v>4227.3389355742293</v>
      </c>
      <c r="P11" s="42">
        <f t="array" ref="P11">_xlfn.XLOOKUP($H11,$A:$A,$E:$E)-_xlfn.XLOOKUP($H10,$A:$A,$E:$E)</f>
        <v>1381</v>
      </c>
      <c r="Q11" s="46">
        <f t="shared" si="12"/>
        <v>2473.7815126050418</v>
      </c>
      <c r="R11" s="42">
        <f t="array" ref="R11">_xlfn.XLOOKUP($H11,'Créditos CP'!A:A,'Créditos CP'!C:C)</f>
        <v>2934</v>
      </c>
      <c r="S11" s="42">
        <f t="array" ref="S11">_xlfn.XLOOKUP($H11,'Créditos CP'!A:A,'Créditos CP'!D:D)</f>
        <v>2013</v>
      </c>
      <c r="T11" s="47">
        <f t="shared" si="6"/>
        <v>1293.3389355742293</v>
      </c>
      <c r="U11" s="47">
        <f t="shared" si="7"/>
        <v>460.78151260504183</v>
      </c>
      <c r="V11" s="7">
        <f t="shared" si="8"/>
        <v>6701.1204481792711</v>
      </c>
      <c r="W11" s="7">
        <f t="shared" si="13"/>
        <v>0.80389365529120349</v>
      </c>
      <c r="Z11" s="12" t="s">
        <v>145</v>
      </c>
      <c r="AB11" s="44">
        <f>30/(B8-B7)*AB10</f>
        <v>4194.4736842105267</v>
      </c>
      <c r="AC11" s="44">
        <f>AB10-AB11+22/($B$9-$B$8)*AC10</f>
        <v>3742.8120300751875</v>
      </c>
      <c r="AD11" s="44">
        <f>MAX(AD12,AC10-AC11+23/($B$10-$B$9)*AD10)</f>
        <v>2003</v>
      </c>
      <c r="AE11" s="44">
        <f>AD10-AD11+11/($B$9-$B$8)*AE10</f>
        <v>2028.5357142857142</v>
      </c>
      <c r="AF11" s="44">
        <f>AE10-AE11+25/($B$9-$B$8)*AF10</f>
        <v>1448</v>
      </c>
    </row>
    <row r="12" spans="1:32" ht="15" customHeight="1" x14ac:dyDescent="0.35">
      <c r="A12" s="40">
        <v>45809</v>
      </c>
      <c r="B12" s="41">
        <v>45835</v>
      </c>
      <c r="C12" s="42">
        <v>115090</v>
      </c>
      <c r="D12" s="42">
        <v>52573</v>
      </c>
      <c r="E12" s="42">
        <v>87777</v>
      </c>
      <c r="F12" s="42">
        <f t="shared" si="2"/>
        <v>36</v>
      </c>
      <c r="H12" s="40">
        <f t="shared" si="0"/>
        <v>45809</v>
      </c>
      <c r="I12" s="41">
        <f t="shared" si="1"/>
        <v>45823</v>
      </c>
      <c r="J12" s="43">
        <f t="shared" si="3"/>
        <v>12</v>
      </c>
      <c r="K12" s="43">
        <f t="shared" si="4"/>
        <v>24</v>
      </c>
      <c r="L12" s="42">
        <f t="array" ref="L12">_xlfn.XLOOKUP($H12,$A:$A,$C:$C)-_xlfn.XLOOKUP($H11,$A:$A,$C:$C)</f>
        <v>2366</v>
      </c>
      <c r="M12" s="42">
        <f t="array" ref="M12">_xlfn.XLOOKUP($H12,$A:$A,$D:$D)-_xlfn.XLOOKUP($H11,$A:$A,$D:$D)</f>
        <v>1148</v>
      </c>
      <c r="N12" s="42">
        <f t="shared" si="5"/>
        <v>3514</v>
      </c>
      <c r="O12" s="46">
        <f t="shared" si="11"/>
        <v>3185.1372549019607</v>
      </c>
      <c r="P12" s="42">
        <f t="array" ref="P12">_xlfn.XLOOKUP($H12,$A:$A,$E:$E)-_xlfn.XLOOKUP($H11,$A:$A,$E:$E)</f>
        <v>2347</v>
      </c>
      <c r="Q12" s="46">
        <f t="shared" si="12"/>
        <v>2133.3137254901958</v>
      </c>
      <c r="R12" s="42">
        <f t="array" ref="R12">_xlfn.XLOOKUP($H12,'Créditos CP'!A:A,'Créditos CP'!C:C)</f>
        <v>2368</v>
      </c>
      <c r="S12" s="42">
        <f t="array" ref="S12">_xlfn.XLOOKUP($H12,'Créditos CP'!A:A,'Créditos CP'!D:D)</f>
        <v>1960</v>
      </c>
      <c r="T12" s="47">
        <f t="shared" si="6"/>
        <v>817.13725490196066</v>
      </c>
      <c r="U12" s="47">
        <f t="shared" si="7"/>
        <v>173.31372549019579</v>
      </c>
      <c r="V12" s="7">
        <f t="shared" si="8"/>
        <v>5318.4509803921565</v>
      </c>
      <c r="W12" s="7">
        <f t="shared" si="13"/>
        <v>0.63802300408974177</v>
      </c>
      <c r="Z12" s="12" t="s">
        <v>102</v>
      </c>
      <c r="AB12" s="44">
        <f>'Créditos CP'!D28</f>
        <v>3812</v>
      </c>
      <c r="AC12" s="12">
        <f>'Créditos CP'!D29</f>
        <v>3498</v>
      </c>
      <c r="AD12" s="15">
        <f>'Créditos CP'!D30</f>
        <v>2003</v>
      </c>
      <c r="AE12" s="15">
        <f>'Créditos CP'!D31</f>
        <v>2013</v>
      </c>
      <c r="AF12" s="15">
        <f>'Créditos CP'!D32</f>
        <v>1960</v>
      </c>
    </row>
    <row r="13" spans="1:32" ht="15" customHeight="1" x14ac:dyDescent="0.35">
      <c r="A13" s="40">
        <v>45839</v>
      </c>
      <c r="B13" s="41">
        <v>45853</v>
      </c>
      <c r="C13" s="42">
        <v>116347</v>
      </c>
      <c r="D13" s="42">
        <v>53176</v>
      </c>
      <c r="E13" s="42">
        <v>88976</v>
      </c>
      <c r="F13" s="42">
        <f t="shared" si="2"/>
        <v>18</v>
      </c>
      <c r="H13" s="40">
        <f t="shared" si="0"/>
        <v>45839</v>
      </c>
      <c r="I13" s="41">
        <f t="shared" si="1"/>
        <v>45853</v>
      </c>
      <c r="J13" s="43">
        <f t="array" ref="J13">MIN(_xlfn.XLOOKUP($H13,$A:$A,$B:$B))-I13</f>
        <v>0</v>
      </c>
      <c r="K13" s="43">
        <f t="shared" si="4"/>
        <v>18</v>
      </c>
      <c r="L13" s="42">
        <f t="array" ref="L13">_xlfn.XLOOKUP($H13,$A:$A,$C:$C)-_xlfn.XLOOKUP($H12,$A:$A,$C:$C)</f>
        <v>1257</v>
      </c>
      <c r="M13" s="42">
        <f t="array" ref="M13">_xlfn.XLOOKUP($H13,$A:$A,$D:$D)-_xlfn.XLOOKUP($H12,$A:$A,$D:$D)</f>
        <v>603</v>
      </c>
      <c r="N13" s="42">
        <f t="shared" si="5"/>
        <v>1860</v>
      </c>
      <c r="O13" s="46">
        <f t="shared" si="11"/>
        <v>3031.333333333333</v>
      </c>
      <c r="P13" s="42">
        <f t="array" ref="P13">_xlfn.XLOOKUP($H13,$A:$A,$E:$E)-_xlfn.XLOOKUP($H12,$A:$A,$E:$E)</f>
        <v>1199</v>
      </c>
      <c r="Q13" s="46">
        <f t="shared" si="12"/>
        <v>1981.3333333333333</v>
      </c>
      <c r="R13" s="42">
        <f t="array" ref="R13">_xlfn.XLOOKUP($H13,'Créditos CP'!A:A,'Créditos CP'!C:C)</f>
        <v>2358</v>
      </c>
      <c r="S13" s="42">
        <f t="array" ref="S13">_xlfn.XLOOKUP($H13,'Créditos CP'!A:A,'Créditos CP'!D:D)</f>
        <v>1762</v>
      </c>
      <c r="T13" s="47">
        <f t="shared" si="6"/>
        <v>673.33333333333303</v>
      </c>
      <c r="U13" s="47">
        <f t="shared" si="7"/>
        <v>219.33333333333326</v>
      </c>
      <c r="V13" s="7">
        <f t="shared" si="8"/>
        <v>5012.6666666666661</v>
      </c>
      <c r="W13" s="7">
        <f t="shared" si="13"/>
        <v>0.60133987451574844</v>
      </c>
      <c r="Z13" s="12" t="s">
        <v>152</v>
      </c>
      <c r="AB13" s="44">
        <f t="shared" ref="AB13:AF13" si="16">AB10-AB12</f>
        <v>1501</v>
      </c>
      <c r="AC13" s="44">
        <f t="shared" si="16"/>
        <v>-158</v>
      </c>
      <c r="AD13" s="48">
        <f t="shared" si="16"/>
        <v>1486</v>
      </c>
      <c r="AE13" s="48">
        <f t="shared" si="16"/>
        <v>-632</v>
      </c>
      <c r="AF13" s="48">
        <f t="shared" si="16"/>
        <v>387</v>
      </c>
    </row>
    <row r="14" spans="1:32" ht="15" customHeight="1" x14ac:dyDescent="0.35">
      <c r="A14" s="40">
        <v>45870</v>
      </c>
      <c r="B14" s="41">
        <v>45888</v>
      </c>
      <c r="C14" s="42">
        <v>119055</v>
      </c>
      <c r="D14" s="42">
        <v>54463</v>
      </c>
      <c r="E14" s="42">
        <v>91408</v>
      </c>
      <c r="F14" s="42">
        <f t="shared" si="2"/>
        <v>35</v>
      </c>
      <c r="H14" s="40">
        <f t="shared" si="0"/>
        <v>45870</v>
      </c>
      <c r="I14" s="41">
        <f t="shared" si="1"/>
        <v>45884</v>
      </c>
      <c r="J14" s="43">
        <f t="array" ref="J14">MIN(_xlfn.XLOOKUP($H14,$A:$A,$B:$B))-I14</f>
        <v>4</v>
      </c>
      <c r="K14" s="43">
        <f t="shared" si="4"/>
        <v>31</v>
      </c>
      <c r="L14" s="42">
        <f t="array" ref="L14">_xlfn.XLOOKUP($H14,$A:$A,$C:$C)-_xlfn.XLOOKUP($H13,$A:$A,$C:$C)</f>
        <v>2708</v>
      </c>
      <c r="M14" s="42">
        <f t="array" ref="M14">_xlfn.XLOOKUP($H14,$A:$A,$D:$D)-_xlfn.XLOOKUP($H13,$A:$A,$D:$D)</f>
        <v>1287</v>
      </c>
      <c r="N14" s="42">
        <f t="shared" si="5"/>
        <v>3995</v>
      </c>
      <c r="O14" s="46">
        <f t="shared" si="11"/>
        <v>3538.4285714285711</v>
      </c>
      <c r="P14" s="42">
        <f t="array" ref="P14">_xlfn.XLOOKUP($H14,$A:$A,$E:$E)-_xlfn.XLOOKUP($H13,$A:$A,$E:$E)</f>
        <v>2432</v>
      </c>
      <c r="Q14" s="46">
        <f t="shared" si="12"/>
        <v>2154.0571428571429</v>
      </c>
      <c r="R14" s="42">
        <f t="array" ref="R14">_xlfn.XLOOKUP($H14,'Créditos CP'!A:A,'Créditos CP'!C:C)</f>
        <v>3139</v>
      </c>
      <c r="S14" s="42">
        <f t="array" ref="S14">_xlfn.XLOOKUP($H14,'Créditos CP'!A:A,'Créditos CP'!D:D)</f>
        <v>2098</v>
      </c>
      <c r="T14" s="47">
        <f t="shared" si="6"/>
        <v>399.4285714285711</v>
      </c>
      <c r="U14" s="47">
        <f t="shared" si="7"/>
        <v>56.057142857142935</v>
      </c>
      <c r="V14" s="7">
        <f t="shared" si="8"/>
        <v>5692.4857142857145</v>
      </c>
      <c r="W14" s="7">
        <f t="shared" si="13"/>
        <v>0.68289373156894451</v>
      </c>
      <c r="Z14" s="12" t="s">
        <v>104</v>
      </c>
      <c r="AB14" s="44">
        <f t="shared" ref="AB14:AF14" si="17">AB11-AB12</f>
        <v>382.4736842105267</v>
      </c>
      <c r="AC14" s="44">
        <f t="shared" si="17"/>
        <v>244.81203007518752</v>
      </c>
      <c r="AD14" s="48">
        <f t="shared" si="17"/>
        <v>0</v>
      </c>
      <c r="AE14" s="48">
        <f t="shared" si="17"/>
        <v>15.535714285714221</v>
      </c>
      <c r="AF14" s="48">
        <f t="shared" si="17"/>
        <v>-512</v>
      </c>
    </row>
    <row r="15" spans="1:32" ht="15" customHeight="1" x14ac:dyDescent="0.35">
      <c r="A15" s="40">
        <v>45901</v>
      </c>
      <c r="B15" s="41">
        <v>45930</v>
      </c>
      <c r="C15" s="42">
        <v>124063</v>
      </c>
      <c r="D15" s="42">
        <v>56915</v>
      </c>
      <c r="E15" s="42">
        <v>95456</v>
      </c>
      <c r="F15" s="42">
        <f t="shared" si="2"/>
        <v>42</v>
      </c>
      <c r="H15" s="40">
        <f t="shared" si="0"/>
        <v>45901</v>
      </c>
      <c r="I15" s="41">
        <f t="shared" si="1"/>
        <v>45915</v>
      </c>
      <c r="J15" s="43">
        <f t="array" ref="J15">MIN(_xlfn.XLOOKUP($H15,$A:$A,$B:$B))-I15</f>
        <v>15</v>
      </c>
      <c r="K15" s="43">
        <f t="shared" si="4"/>
        <v>27</v>
      </c>
      <c r="L15" s="42">
        <f t="array" ref="L15">_xlfn.XLOOKUP($H15,$A:$A,$C:$C)-_xlfn.XLOOKUP($H14,$A:$A,$C:$C)</f>
        <v>5008</v>
      </c>
      <c r="M15" s="42">
        <f t="array" ref="M15">_xlfn.XLOOKUP($H15,$A:$A,$D:$D)-_xlfn.XLOOKUP($H14,$A:$A,$D:$D)</f>
        <v>2452</v>
      </c>
      <c r="N15" s="42">
        <f t="shared" si="5"/>
        <v>7460</v>
      </c>
      <c r="O15" s="46">
        <f t="shared" si="11"/>
        <v>5252.2857142857147</v>
      </c>
      <c r="P15" s="42">
        <f t="array" ref="P15">_xlfn.XLOOKUP($H15,$A:$A,$E:$E)-_xlfn.XLOOKUP($H14,$A:$A,$E:$E)</f>
        <v>4048</v>
      </c>
      <c r="Q15" s="46">
        <f t="shared" si="12"/>
        <v>2880.2285714285717</v>
      </c>
      <c r="R15" s="42">
        <f t="array" ref="R15">_xlfn.XLOOKUP($H15,'Créditos CP'!A:A,'Créditos CP'!C:C)</f>
        <v>3612</v>
      </c>
      <c r="S15" s="42">
        <f t="array" ref="S15">_xlfn.XLOOKUP($H15,'Créditos CP'!A:A,'Créditos CP'!D:D)</f>
        <v>2595</v>
      </c>
      <c r="T15" s="47">
        <f t="shared" si="6"/>
        <v>1640.2857142857147</v>
      </c>
      <c r="U15" s="47">
        <f t="shared" si="7"/>
        <v>285.22857142857174</v>
      </c>
      <c r="V15" s="7">
        <f t="shared" si="8"/>
        <v>8132.5142857142864</v>
      </c>
      <c r="W15" s="7">
        <f t="shared" si="13"/>
        <v>0.97560947999779779</v>
      </c>
    </row>
    <row r="16" spans="1:32" ht="15" customHeight="1" x14ac:dyDescent="0.35">
      <c r="A16" s="40">
        <v>45931</v>
      </c>
      <c r="B16" s="41">
        <v>45954</v>
      </c>
      <c r="C16" s="42">
        <v>127009</v>
      </c>
      <c r="D16" s="42">
        <v>58366</v>
      </c>
      <c r="E16" s="42">
        <v>97769</v>
      </c>
      <c r="F16" s="42">
        <f t="shared" si="2"/>
        <v>24</v>
      </c>
      <c r="H16" s="40">
        <f t="shared" si="0"/>
        <v>45931</v>
      </c>
      <c r="I16" s="41">
        <f t="shared" si="1"/>
        <v>45945</v>
      </c>
      <c r="J16" s="43">
        <f t="array" ref="J16">MIN(_xlfn.XLOOKUP($H16,$A:$A,$B:$B))-I16</f>
        <v>9</v>
      </c>
      <c r="K16" s="43">
        <f t="shared" si="4"/>
        <v>15</v>
      </c>
      <c r="L16" s="42">
        <f t="array" ref="L16">_xlfn.XLOOKUP($H16,$A:$A,$C:$C)-_xlfn.XLOOKUP($H15,$A:$A,$C:$C)</f>
        <v>2946</v>
      </c>
      <c r="M16" s="42">
        <f t="array" ref="M16">_xlfn.XLOOKUP($H16,$A:$A,$D:$D)-_xlfn.XLOOKUP($H15,$A:$A,$D:$D)</f>
        <v>1451</v>
      </c>
      <c r="N16" s="42">
        <f t="shared" si="5"/>
        <v>4397</v>
      </c>
      <c r="O16" s="46">
        <f t="shared" si="11"/>
        <v>5412.4107142857138</v>
      </c>
      <c r="P16" s="42">
        <f t="array" ref="P16">_xlfn.XLOOKUP($H16,$A:$A,$E:$E)-_xlfn.XLOOKUP($H15,$A:$A,$E:$E)</f>
        <v>2313</v>
      </c>
      <c r="Q16" s="46">
        <f t="shared" si="12"/>
        <v>2891.3392857142858</v>
      </c>
      <c r="R16" s="42">
        <f t="array" ref="R16">_xlfn.XLOOKUP($H16,'Créditos CP'!A:A,'Créditos CP'!C:C)</f>
        <v>4187</v>
      </c>
      <c r="S16" s="42">
        <f t="array" ref="S16">_xlfn.XLOOKUP($H16,'Créditos CP'!A:A,'Créditos CP'!D:D)</f>
        <v>2766</v>
      </c>
      <c r="T16" s="47">
        <f t="shared" si="6"/>
        <v>1225.4107142857138</v>
      </c>
      <c r="U16" s="47">
        <f t="shared" si="7"/>
        <v>125.33928571428578</v>
      </c>
      <c r="V16" s="7">
        <f t="shared" si="8"/>
        <v>8303.75</v>
      </c>
      <c r="W16" s="7">
        <f t="shared" si="13"/>
        <v>0.99615161251698636</v>
      </c>
    </row>
    <row r="17" spans="1:23" ht="15" customHeight="1" x14ac:dyDescent="0.35">
      <c r="A17" s="40">
        <v>45962</v>
      </c>
      <c r="B17" s="41">
        <v>45980</v>
      </c>
      <c r="C17" s="42">
        <v>130468</v>
      </c>
      <c r="D17" s="42">
        <v>60091</v>
      </c>
      <c r="E17" s="42">
        <v>100714</v>
      </c>
      <c r="F17" s="42">
        <f t="shared" si="2"/>
        <v>26</v>
      </c>
      <c r="H17" s="40">
        <f t="shared" si="0"/>
        <v>45962</v>
      </c>
      <c r="I17" s="41">
        <f t="shared" si="1"/>
        <v>45976</v>
      </c>
      <c r="J17" s="43">
        <f t="array" ref="J17">MIN(_xlfn.XLOOKUP($H17,$A:$A,$B:$B))-I17</f>
        <v>4</v>
      </c>
      <c r="K17" s="43">
        <f t="shared" si="4"/>
        <v>22</v>
      </c>
      <c r="L17" s="42">
        <f t="array" ref="L17">_xlfn.XLOOKUP($H17,$A:$A,$C:$C)-_xlfn.XLOOKUP($H16,$A:$A,$C:$C)</f>
        <v>3459</v>
      </c>
      <c r="M17" s="42">
        <f t="array" ref="M17">_xlfn.XLOOKUP($H17,$A:$A,$D:$D)-_xlfn.XLOOKUP($H16,$A:$A,$D:$D)</f>
        <v>1725</v>
      </c>
      <c r="N17" s="42">
        <f t="shared" si="5"/>
        <v>5184</v>
      </c>
      <c r="O17" s="46">
        <f t="shared" si="11"/>
        <v>6035.3365384615381</v>
      </c>
      <c r="P17" s="42">
        <f t="array" ref="P17">_xlfn.XLOOKUP($H17,$A:$A,$E:$E)-_xlfn.XLOOKUP($H16,$A:$A,$E:$E)</f>
        <v>2945</v>
      </c>
      <c r="Q17" s="46">
        <f t="shared" si="12"/>
        <v>3359.2980769230767</v>
      </c>
      <c r="R17" s="42">
        <f t="array" ref="R17">_xlfn.XLOOKUP($H17,'Créditos CP'!A:A,'Créditos CP'!C:C)</f>
        <v>4324</v>
      </c>
      <c r="S17" s="42">
        <f t="array" ref="S17">_xlfn.XLOOKUP($H17,'Créditos CP'!A:A,'Créditos CP'!D:D)</f>
        <v>2814</v>
      </c>
      <c r="T17" s="47">
        <f t="shared" si="6"/>
        <v>1711.3365384615381</v>
      </c>
      <c r="U17" s="47">
        <f t="shared" si="7"/>
        <v>545.29807692307668</v>
      </c>
      <c r="V17" s="7">
        <f t="shared" si="8"/>
        <v>9394.6346153846152</v>
      </c>
      <c r="W17" s="7">
        <f t="shared" si="13"/>
        <v>1.127018566445676</v>
      </c>
    </row>
    <row r="18" spans="1:23" ht="15" customHeight="1" x14ac:dyDescent="0.35">
      <c r="A18" s="40">
        <v>45992</v>
      </c>
      <c r="B18" s="41">
        <v>46009</v>
      </c>
      <c r="C18" s="42">
        <v>135101</v>
      </c>
      <c r="D18" s="42">
        <v>62502</v>
      </c>
      <c r="E18" s="42">
        <v>104278</v>
      </c>
      <c r="F18" s="42">
        <f t="shared" si="2"/>
        <v>29</v>
      </c>
      <c r="H18" s="40">
        <f t="shared" si="0"/>
        <v>45992</v>
      </c>
      <c r="I18" s="41">
        <f t="shared" si="1"/>
        <v>46006</v>
      </c>
      <c r="J18" s="43">
        <f t="array" ref="J18">MIN(_xlfn.XLOOKUP($H18,$A:$A,$B:$B))-I18</f>
        <v>3</v>
      </c>
      <c r="K18" s="43">
        <f t="shared" si="4"/>
        <v>26</v>
      </c>
      <c r="L18" s="42">
        <f t="array" ref="L18">_xlfn.XLOOKUP($H18,$A:$A,$C:$C)-_xlfn.XLOOKUP($H17,$A:$A,$C:$C)</f>
        <v>4633</v>
      </c>
      <c r="M18" s="42">
        <f t="array" ref="M18">_xlfn.XLOOKUP($H18,$A:$A,$D:$D)-_xlfn.XLOOKUP($H17,$A:$A,$D:$D)</f>
        <v>2411</v>
      </c>
      <c r="N18" s="42">
        <f t="shared" si="5"/>
        <v>7044</v>
      </c>
      <c r="O18" s="46">
        <f t="shared" si="11"/>
        <v>7112.8488063660479</v>
      </c>
      <c r="P18" s="42">
        <f t="array" ref="P18">_xlfn.XLOOKUP($H18,$A:$A,$E:$E)-_xlfn.XLOOKUP($H17,$A:$A,$E:$E)</f>
        <v>3564</v>
      </c>
      <c r="Q18" s="46">
        <f t="shared" si="12"/>
        <v>3648.3872679045089</v>
      </c>
      <c r="R18" s="42">
        <f t="array" ref="R18">_xlfn.XLOOKUP($H18,'Créditos CP'!A:A,'Créditos CP'!C:C)</f>
        <v>4968</v>
      </c>
      <c r="S18" s="42">
        <f t="array" ref="S18">_xlfn.XLOOKUP($H18,'Créditos CP'!A:A,'Créditos CP'!D:D)</f>
        <v>3262</v>
      </c>
      <c r="T18" s="47">
        <f t="shared" si="6"/>
        <v>2144.8488063660479</v>
      </c>
      <c r="U18" s="47">
        <f t="shared" si="7"/>
        <v>386.38726790450892</v>
      </c>
      <c r="V18" s="7">
        <f t="shared" si="8"/>
        <v>10761.236074270557</v>
      </c>
      <c r="W18" s="7">
        <f t="shared" si="13"/>
        <v>1.2909616339678553</v>
      </c>
    </row>
    <row r="19" spans="1:23" ht="15.75" customHeight="1" x14ac:dyDescent="0.35">
      <c r="A19" s="40">
        <v>46023</v>
      </c>
      <c r="B19" s="41">
        <v>46041</v>
      </c>
      <c r="C19" s="42">
        <v>139971</v>
      </c>
      <c r="D19" s="42">
        <v>65115</v>
      </c>
      <c r="E19" s="42">
        <v>108335</v>
      </c>
      <c r="F19" s="42">
        <f t="shared" si="2"/>
        <v>32</v>
      </c>
      <c r="H19" s="40">
        <f t="shared" si="0"/>
        <v>46023</v>
      </c>
      <c r="I19" s="41">
        <f t="shared" si="1"/>
        <v>46037</v>
      </c>
      <c r="J19" s="43">
        <f t="array" ref="J19">MIN(_xlfn.XLOOKUP($H19,$A:$A,$B:$B))-I19</f>
        <v>4</v>
      </c>
      <c r="K19" s="43">
        <f t="shared" si="4"/>
        <v>28</v>
      </c>
      <c r="L19" s="42">
        <f t="array" ref="L19">_xlfn.XLOOKUP($H19,$A:$A,$C:$C)-_xlfn.XLOOKUP($H18,$A:$A,$C:$C)</f>
        <v>4870</v>
      </c>
      <c r="M19" s="42">
        <f t="array" ref="M19">_xlfn.XLOOKUP($H19,$A:$A,$D:$D)-_xlfn.XLOOKUP($H18,$A:$A,$D:$D)</f>
        <v>2613</v>
      </c>
      <c r="N19" s="42">
        <f t="shared" si="5"/>
        <v>7483</v>
      </c>
      <c r="O19" s="46">
        <f t="shared" si="11"/>
        <v>7276.3146551724139</v>
      </c>
      <c r="P19" s="42">
        <f t="array" ref="P19">_xlfn.XLOOKUP($H19,$A:$A,$E:$E)-_xlfn.XLOOKUP($H18,$A:$A,$E:$E)</f>
        <v>4057</v>
      </c>
      <c r="Q19" s="46">
        <f t="shared" si="12"/>
        <v>3918.5646551724139</v>
      </c>
      <c r="R19" s="42">
        <f t="array" ref="R19">_xlfn.XLOOKUP($H19,'Créditos CP'!A:A,'Créditos CP'!C:C)</f>
        <v>6868</v>
      </c>
      <c r="S19" s="42">
        <f t="array" ref="S19">_xlfn.XLOOKUP($H19,'Créditos CP'!A:A,'Créditos CP'!D:D)</f>
        <v>3875</v>
      </c>
      <c r="T19" s="47">
        <f t="shared" si="6"/>
        <v>408.31465517241395</v>
      </c>
      <c r="U19" s="47">
        <f t="shared" si="7"/>
        <v>43.56465517241395</v>
      </c>
      <c r="V19" s="7">
        <f t="shared" si="8"/>
        <v>11194.879310344828</v>
      </c>
      <c r="W19" s="7"/>
    </row>
    <row r="20" spans="1:23" ht="15.75" customHeight="1" x14ac:dyDescent="0.35">
      <c r="A20" s="40">
        <v>46054</v>
      </c>
      <c r="B20" s="41">
        <v>46065</v>
      </c>
      <c r="C20" s="42">
        <v>142229</v>
      </c>
      <c r="D20" s="42">
        <v>66586</v>
      </c>
      <c r="E20" s="42">
        <v>110673</v>
      </c>
      <c r="F20" s="42">
        <f t="shared" si="2"/>
        <v>24</v>
      </c>
      <c r="H20" s="40">
        <f t="shared" si="0"/>
        <v>46054</v>
      </c>
      <c r="I20" s="41">
        <f t="shared" si="1"/>
        <v>46068</v>
      </c>
      <c r="J20" s="43">
        <f t="array" ref="J20">MIN(_xlfn.XLOOKUP($H20,$A:$A,$B:$B))-I20</f>
        <v>-3</v>
      </c>
      <c r="K20" s="43">
        <f t="shared" si="4"/>
        <v>27</v>
      </c>
      <c r="L20" s="42">
        <f t="array" ref="L20">_xlfn.XLOOKUP($H20,$A:$A,$C:$C)-_xlfn.XLOOKUP($H19,$A:$A,$C:$C)</f>
        <v>2258</v>
      </c>
      <c r="M20" s="42">
        <f t="array" ref="M20">_xlfn.XLOOKUP($H20,$A:$A,$D:$D)-_xlfn.XLOOKUP($H19,$A:$A,$D:$D)</f>
        <v>1471</v>
      </c>
      <c r="N20" s="42">
        <f t="shared" si="5"/>
        <v>3729</v>
      </c>
      <c r="O20" s="46">
        <f t="shared" si="11"/>
        <v>5130.5</v>
      </c>
      <c r="P20" s="42">
        <f t="array" ref="P20">_xlfn.XLOOKUP($H20,$A:$A,$E:$E)-_xlfn.XLOOKUP($H19,$A:$A,$E:$E)</f>
        <v>2338</v>
      </c>
      <c r="Q20" s="46">
        <f t="shared" si="12"/>
        <v>3137.375</v>
      </c>
      <c r="R20" s="42">
        <f t="array" ref="R20">_xlfn.XLOOKUP($H20,'Créditos CP'!A:A,'Créditos CP'!C:C)</f>
        <v>4439</v>
      </c>
      <c r="S20" s="42">
        <f t="array" ref="S20">_xlfn.XLOOKUP($H20,'Créditos CP'!A:A,'Créditos CP'!D:D)</f>
        <v>2674</v>
      </c>
      <c r="T20" s="47">
        <f t="shared" si="6"/>
        <v>691.5</v>
      </c>
      <c r="U20" s="47">
        <f t="shared" si="7"/>
        <v>463.375</v>
      </c>
      <c r="V20" s="7">
        <f t="shared" si="8"/>
        <v>8267.875</v>
      </c>
      <c r="W20" s="7"/>
    </row>
    <row r="21" spans="1:23" ht="15.75" customHeight="1" x14ac:dyDescent="0.35">
      <c r="A21" s="40">
        <v>46082</v>
      </c>
      <c r="B21" s="41">
        <v>46100</v>
      </c>
      <c r="C21" s="42">
        <v>147468</v>
      </c>
      <c r="D21" s="42">
        <v>68939</v>
      </c>
      <c r="E21" s="42">
        <v>114366</v>
      </c>
      <c r="F21" s="42">
        <f t="shared" si="2"/>
        <v>35</v>
      </c>
      <c r="H21" s="40">
        <f t="shared" si="0"/>
        <v>46082</v>
      </c>
      <c r="I21" s="41">
        <f t="shared" si="1"/>
        <v>46096</v>
      </c>
      <c r="J21" s="43">
        <f t="array" ref="J21">MIN(_xlfn.XLOOKUP($H21,$A:$A,$B:$B))-I21</f>
        <v>4</v>
      </c>
      <c r="K21" s="43">
        <f t="shared" si="4"/>
        <v>31</v>
      </c>
      <c r="L21" s="42">
        <f t="array" ref="L21">_xlfn.XLOOKUP($H21,$A:$A,$C:$C)-_xlfn.XLOOKUP($H20,$A:$A,$C:$C)</f>
        <v>5239</v>
      </c>
      <c r="M21" s="42">
        <f t="array" ref="M21">_xlfn.XLOOKUP($H21,$A:$A,$D:$D)-_xlfn.XLOOKUP($H20,$A:$A,$D:$D)</f>
        <v>2353</v>
      </c>
      <c r="N21" s="42">
        <f t="shared" si="5"/>
        <v>7592</v>
      </c>
      <c r="O21" s="46">
        <f t="shared" si="11"/>
        <v>6258.2178571428567</v>
      </c>
      <c r="P21" s="42">
        <f t="array" ref="P21">_xlfn.XLOOKUP($H21,$A:$A,$E:$E)-_xlfn.XLOOKUP($H20,$A:$A,$E:$E)</f>
        <v>3693</v>
      </c>
      <c r="Q21" s="46">
        <f t="shared" si="12"/>
        <v>2978.6928571428571</v>
      </c>
      <c r="R21" s="42">
        <f t="array" ref="R21">_xlfn.XLOOKUP($H21,'Créditos CP'!A:A,'Créditos CP'!C:C)</f>
        <v>4747</v>
      </c>
      <c r="S21" s="42">
        <f t="array" ref="S21">_xlfn.XLOOKUP($H21,'Créditos CP'!A:A,'Créditos CP'!D:D)</f>
        <v>3086</v>
      </c>
      <c r="T21" s="47">
        <f t="shared" si="6"/>
        <v>1511.2178571428567</v>
      </c>
      <c r="U21" s="47">
        <f t="shared" si="7"/>
        <v>-107.30714285714294</v>
      </c>
      <c r="V21" s="7">
        <f t="shared" si="8"/>
        <v>9236.9107142857138</v>
      </c>
    </row>
    <row r="22" spans="1:23" ht="15.75" customHeight="1" x14ac:dyDescent="0.35">
      <c r="A22" s="40">
        <v>46113</v>
      </c>
      <c r="B22" s="41">
        <v>46128</v>
      </c>
      <c r="C22" s="42">
        <v>150725</v>
      </c>
      <c r="D22" s="42">
        <v>70560</v>
      </c>
      <c r="E22" s="42">
        <v>117143</v>
      </c>
      <c r="F22" s="42">
        <f t="shared" si="2"/>
        <v>28</v>
      </c>
      <c r="H22" s="40">
        <f t="shared" si="0"/>
        <v>46113</v>
      </c>
      <c r="I22" s="41">
        <f t="shared" si="1"/>
        <v>46127</v>
      </c>
      <c r="J22" s="43">
        <f t="array" ref="J22">MIN(_xlfn.XLOOKUP($H22,$A:$A,$B:$B))-I22</f>
        <v>1</v>
      </c>
      <c r="K22" s="43">
        <f t="shared" si="4"/>
        <v>27</v>
      </c>
      <c r="L22" s="42">
        <f t="array" ref="L22">_xlfn.XLOOKUP($H22,$A:$A,$C:$C)-_xlfn.XLOOKUP($H21,$A:$A,$C:$C)</f>
        <v>3257</v>
      </c>
      <c r="M22" s="42">
        <f t="array" ref="M22">_xlfn.XLOOKUP($H22,$A:$A,$D:$D)-_xlfn.XLOOKUP($H21,$A:$A,$D:$D)</f>
        <v>1621</v>
      </c>
      <c r="N22" s="42">
        <f t="shared" si="5"/>
        <v>4878</v>
      </c>
      <c r="O22" s="46">
        <f t="shared" si="11"/>
        <v>5571.442857142858</v>
      </c>
      <c r="P22" s="42">
        <f t="array" ref="P22">_xlfn.XLOOKUP($H22,$A:$A,$E:$E)-_xlfn.XLOOKUP($H21,$A:$A,$E:$E)</f>
        <v>2777</v>
      </c>
      <c r="Q22" s="46">
        <f t="shared" si="12"/>
        <v>3099.8785714285714</v>
      </c>
      <c r="R22" s="42">
        <f t="array" ref="R22">_xlfn.XLOOKUP($H22,'Créditos CP'!A:A,'Créditos CP'!C:C)</f>
        <v>3234</v>
      </c>
      <c r="S22" s="42">
        <f t="array" ref="S22">_xlfn.XLOOKUP($H22,'Créditos CP'!A:A,'Créditos CP'!D:D)</f>
        <v>2541</v>
      </c>
      <c r="T22" s="47">
        <f t="shared" si="6"/>
        <v>2337.442857142858</v>
      </c>
      <c r="U22" s="47">
        <f t="shared" si="7"/>
        <v>558.87857142857138</v>
      </c>
      <c r="V22" s="7">
        <f t="shared" si="8"/>
        <v>8671.3214285714294</v>
      </c>
    </row>
    <row r="23" spans="1:23" ht="15.75" customHeight="1" x14ac:dyDescent="0.35">
      <c r="A23" s="40">
        <v>46143</v>
      </c>
      <c r="B23" s="41">
        <v>46154</v>
      </c>
      <c r="C23" s="42">
        <v>153297</v>
      </c>
      <c r="D23" s="42">
        <v>71797</v>
      </c>
      <c r="E23" s="42">
        <v>119412</v>
      </c>
      <c r="F23" s="42">
        <f t="shared" si="2"/>
        <v>26</v>
      </c>
      <c r="H23" s="40">
        <f t="shared" si="0"/>
        <v>46143</v>
      </c>
      <c r="I23" s="41">
        <f t="shared" si="1"/>
        <v>46157</v>
      </c>
      <c r="J23" s="43">
        <f t="array" ref="J23">MIN(_xlfn.XLOOKUP($H23,$A:$A,$B:$B))-I23</f>
        <v>-3</v>
      </c>
      <c r="K23" s="43">
        <f t="shared" si="4"/>
        <v>29</v>
      </c>
      <c r="L23" s="42">
        <f t="array" ref="L23">_xlfn.XLOOKUP($H23,$A:$A,$C:$C)-_xlfn.XLOOKUP($H22,$A:$A,$C:$C)</f>
        <v>2572</v>
      </c>
      <c r="M23" s="42">
        <f t="array" ref="M23">_xlfn.XLOOKUP($H23,$A:$A,$D:$D)-_xlfn.XLOOKUP($H22,$A:$A,$D:$D)</f>
        <v>1237</v>
      </c>
      <c r="N23" s="42">
        <f t="shared" si="5"/>
        <v>3809</v>
      </c>
      <c r="O23" s="46">
        <f t="shared" si="11"/>
        <v>4422.7142857142853</v>
      </c>
      <c r="P23" s="42">
        <f t="array" ref="P23">_xlfn.XLOOKUP($H23,$A:$A,$E:$E)-_xlfn.XLOOKUP($H22,$A:$A,$E:$E)</f>
        <v>2269</v>
      </c>
      <c r="Q23" s="46">
        <f t="shared" si="12"/>
        <v>2629.9862637362639</v>
      </c>
      <c r="R23" s="42">
        <f t="array" ref="R23">_xlfn.XLOOKUP($H23,'Créditos CP'!A:A,'Créditos CP'!C:C)</f>
        <v>2819</v>
      </c>
      <c r="S23" s="42">
        <f t="array" ref="S23">_xlfn.XLOOKUP($H23,'Créditos CP'!A:A,'Créditos CP'!D:D)</f>
        <v>2286</v>
      </c>
      <c r="T23" s="47">
        <f t="shared" si="6"/>
        <v>1603.7142857142853</v>
      </c>
      <c r="U23" s="47">
        <f t="shared" si="7"/>
        <v>343.98626373626394</v>
      </c>
      <c r="V23" s="7">
        <f t="shared" si="8"/>
        <v>7052.7005494505493</v>
      </c>
    </row>
    <row r="24" spans="1:23" ht="15.75" customHeight="1" x14ac:dyDescent="0.35">
      <c r="A24" s="40">
        <v>46174</v>
      </c>
      <c r="B24" s="41">
        <v>46203</v>
      </c>
      <c r="C24" s="42">
        <v>156165</v>
      </c>
      <c r="D24" s="42">
        <v>73183</v>
      </c>
      <c r="E24" s="42">
        <v>122092</v>
      </c>
      <c r="F24" s="42">
        <f t="shared" si="2"/>
        <v>49</v>
      </c>
      <c r="H24" s="40">
        <f t="shared" si="0"/>
        <v>46174</v>
      </c>
      <c r="I24" s="41">
        <f t="shared" si="1"/>
        <v>46188</v>
      </c>
      <c r="J24" s="43">
        <f t="array" ref="J24">MIN(_xlfn.XLOOKUP($H24,$A:$A,$B:$B))-I24</f>
        <v>15</v>
      </c>
      <c r="K24" s="43">
        <f t="shared" si="4"/>
        <v>34</v>
      </c>
      <c r="L24" s="42">
        <f t="array" ref="L24">_xlfn.XLOOKUP($H24,$A:$A,$C:$C)-_xlfn.XLOOKUP($H23,$A:$A,$C:$C)</f>
        <v>2868</v>
      </c>
      <c r="M24" s="42">
        <f t="array" ref="M24">_xlfn.XLOOKUP($H24,$A:$A,$D:$D)-_xlfn.XLOOKUP($H23,$A:$A,$D:$D)</f>
        <v>1386</v>
      </c>
      <c r="N24" s="42">
        <f t="shared" si="5"/>
        <v>4254</v>
      </c>
      <c r="O24" s="46">
        <f t="shared" si="11"/>
        <v>2512.2551020408164</v>
      </c>
      <c r="P24" s="42">
        <f t="array" ref="P24">_xlfn.XLOOKUP($H24,$A:$A,$E:$E)-_xlfn.XLOOKUP($H23,$A:$A,$E:$E)</f>
        <v>2680</v>
      </c>
      <c r="Q24" s="46">
        <f t="shared" si="12"/>
        <v>1597.7841444270016</v>
      </c>
      <c r="R24" s="42">
        <f t="array" ref="R24">_xlfn.XLOOKUP($H24,'Créditos CP'!A:A,'Créditos CP'!C:C)</f>
        <v>1998</v>
      </c>
      <c r="S24" s="42">
        <f t="array" ref="S24">_xlfn.XLOOKUP($H24,'Créditos CP'!A:A,'Créditos CP'!D:D)</f>
        <v>1686</v>
      </c>
      <c r="T24" s="47">
        <f t="shared" si="6"/>
        <v>514.25510204081638</v>
      </c>
      <c r="U24" s="47">
        <f t="shared" si="7"/>
        <v>-88.215855572998407</v>
      </c>
      <c r="V24" s="7">
        <f t="shared" si="8"/>
        <v>4110.039246467818</v>
      </c>
    </row>
    <row r="25" spans="1:23" ht="15.75" customHeight="1" x14ac:dyDescent="0.35">
      <c r="A25" s="40">
        <v>46204</v>
      </c>
      <c r="B25" s="41">
        <v>46223</v>
      </c>
      <c r="C25" s="42">
        <v>157666</v>
      </c>
      <c r="D25" s="42">
        <v>73914</v>
      </c>
      <c r="E25" s="42">
        <v>123584</v>
      </c>
      <c r="F25" s="42">
        <f t="shared" si="2"/>
        <v>20</v>
      </c>
      <c r="H25" s="40">
        <f t="shared" si="0"/>
        <v>46204</v>
      </c>
      <c r="I25" s="41">
        <f t="shared" si="1"/>
        <v>46218</v>
      </c>
      <c r="J25" s="43">
        <f t="array" ref="J25">MIN(_xlfn.XLOOKUP($H25,$A:$A,$B:$B))-I25</f>
        <v>5</v>
      </c>
      <c r="K25" s="43">
        <f t="shared" si="4"/>
        <v>15</v>
      </c>
      <c r="L25" s="42">
        <f t="array" ref="L25">_xlfn.XLOOKUP($H25,$A:$A,$C:$C)-_xlfn.XLOOKUP($H24,$A:$A,$C:$C)</f>
        <v>1501</v>
      </c>
      <c r="M25" s="42">
        <f t="array" ref="M25">_xlfn.XLOOKUP($H25,$A:$A,$D:$D)-_xlfn.XLOOKUP($H24,$A:$A,$D:$D)</f>
        <v>731</v>
      </c>
      <c r="N25" s="42">
        <f t="shared" si="5"/>
        <v>2232</v>
      </c>
      <c r="O25" s="46">
        <f t="shared" si="11"/>
        <v>2976.2448979591836</v>
      </c>
      <c r="P25" s="42">
        <f t="array" ref="P25">_xlfn.XLOOKUP($H25,$A:$A,$E:$E)-_xlfn.XLOOKUP($H24,$A:$A,$E:$E)</f>
        <v>1492</v>
      </c>
      <c r="Q25" s="46">
        <f t="shared" si="12"/>
        <v>1939.408163265306</v>
      </c>
      <c r="R25" s="42">
        <f t="array" ref="R25">_xlfn.XLOOKUP($H25,'Créditos CP'!A:A,'Créditos CP'!C:C)</f>
        <v>1930</v>
      </c>
      <c r="S25" s="42">
        <f t="array" ref="S25">_xlfn.XLOOKUP($H25,'Créditos CP'!A:A,'Créditos CP'!D:D)</f>
        <v>1605</v>
      </c>
      <c r="T25" s="47">
        <f t="shared" si="6"/>
        <v>1046.2448979591836</v>
      </c>
      <c r="U25" s="47">
        <f t="shared" si="7"/>
        <v>334.40816326530603</v>
      </c>
      <c r="V25" s="7">
        <f t="shared" si="8"/>
        <v>4915.6530612244896</v>
      </c>
    </row>
    <row r="26" spans="1:23" ht="15.75" customHeight="1" x14ac:dyDescent="0.35">
      <c r="A26" s="40">
        <v>46235</v>
      </c>
      <c r="B26" s="41">
        <v>46255</v>
      </c>
      <c r="C26" s="42">
        <v>160328</v>
      </c>
      <c r="D26" s="42">
        <v>75146</v>
      </c>
      <c r="E26" s="42">
        <v>126016</v>
      </c>
      <c r="F26" s="42">
        <f t="shared" ref="F26" si="18">B26-B25</f>
        <v>32</v>
      </c>
      <c r="H26" s="40">
        <f t="shared" ref="H26" si="19">A26</f>
        <v>46235</v>
      </c>
      <c r="I26" s="41">
        <f t="shared" ref="I26" si="20">DATE(YEAR(H26),MONTH(H26),15)</f>
        <v>46249</v>
      </c>
      <c r="J26" s="43">
        <f t="array" ref="J26">MIN(_xlfn.XLOOKUP($H26,$A:$A,$B:$B))-I26</f>
        <v>6</v>
      </c>
      <c r="K26" s="43">
        <f t="shared" ref="K26" si="21">F26-J26</f>
        <v>26</v>
      </c>
      <c r="L26" s="42">
        <f t="array" ref="L26">_xlfn.XLOOKUP($H26,$A:$A,$C:$C)-_xlfn.XLOOKUP($H25,$A:$A,$C:$C)</f>
        <v>2662</v>
      </c>
      <c r="M26" s="42">
        <f t="array" ref="M26">_xlfn.XLOOKUP($H26,$A:$A,$D:$D)-_xlfn.XLOOKUP($H25,$A:$A,$D:$D)</f>
        <v>1232</v>
      </c>
      <c r="N26" s="42">
        <f t="shared" ref="N26" si="22">M26+L26</f>
        <v>3894</v>
      </c>
      <c r="O26" s="46">
        <f t="shared" ref="O26" si="23">$K26/SUM($J26:$K26)*N26+$J25/SUM($J25:$K25)*N25</f>
        <v>3721.875</v>
      </c>
      <c r="P26" s="42">
        <f t="array" ref="P26">_xlfn.XLOOKUP($H26,$A:$A,$E:$E)-_xlfn.XLOOKUP($H25,$A:$A,$E:$E)</f>
        <v>2432</v>
      </c>
      <c r="Q26" s="46">
        <f t="shared" ref="Q26" si="24">$K26/SUM($J26:$K26)*P26+$J25/SUM($J25:$K25)*P25</f>
        <v>2349</v>
      </c>
      <c r="R26" s="42">
        <f t="array" ref="R26">_xlfn.XLOOKUP($H26,'Créditos CP'!A:A,'Créditos CP'!C:C)</f>
        <v>3201</v>
      </c>
      <c r="S26" s="42">
        <f t="array" ref="S26">_xlfn.XLOOKUP($H26,'Créditos CP'!A:A,'Créditos CP'!D:D)</f>
        <v>2419</v>
      </c>
      <c r="T26" s="47">
        <f t="shared" ref="T26" si="25">O26-R26</f>
        <v>520.875</v>
      </c>
      <c r="U26" s="47">
        <f t="shared" ref="U26" si="26">Q26-S26</f>
        <v>-70</v>
      </c>
      <c r="V26" s="7">
        <f t="shared" ref="V26" si="27">O26+Q26</f>
        <v>6070.875</v>
      </c>
    </row>
    <row r="27" spans="1:23" ht="15.75" customHeight="1" x14ac:dyDescent="0.35"/>
    <row r="28" spans="1:23" ht="15.75" customHeight="1" x14ac:dyDescent="0.35"/>
    <row r="29" spans="1:23" ht="15.75" customHeight="1" x14ac:dyDescent="0.35"/>
    <row r="30" spans="1:23" ht="15.75" customHeight="1" x14ac:dyDescent="0.35"/>
    <row r="31" spans="1:23" ht="15.75" customHeight="1" x14ac:dyDescent="0.35"/>
    <row r="32" spans="1:2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L1000"/>
  <sheetViews>
    <sheetView workbookViewId="0"/>
  </sheetViews>
  <sheetFormatPr defaultColWidth="14.453125" defaultRowHeight="15" customHeight="1" x14ac:dyDescent="0.35"/>
  <cols>
    <col min="1" max="1" width="14" customWidth="1"/>
    <col min="2" max="2" width="17.26953125" customWidth="1"/>
    <col min="3" max="3" width="31.54296875" customWidth="1"/>
    <col min="4" max="4" width="42.453125" customWidth="1"/>
    <col min="5" max="5" width="37.26953125" customWidth="1"/>
    <col min="6" max="6" width="8.7265625" customWidth="1"/>
    <col min="7" max="7" width="14" customWidth="1"/>
    <col min="8" max="8" width="17.26953125" customWidth="1"/>
    <col min="9" max="9" width="11.54296875" customWidth="1"/>
    <col min="10" max="10" width="17.81640625" customWidth="1"/>
    <col min="11" max="11" width="14.1796875" customWidth="1"/>
    <col min="12" max="12" width="10.26953125" customWidth="1"/>
    <col min="13" max="26" width="8.7265625" customWidth="1"/>
  </cols>
  <sheetData>
    <row r="1" spans="1:12" ht="14.5" x14ac:dyDescent="0.35">
      <c r="G1" s="12" t="s">
        <v>153</v>
      </c>
    </row>
    <row r="2" spans="1:12" ht="14.5" x14ac:dyDescent="0.35">
      <c r="A2" s="12" t="s">
        <v>154</v>
      </c>
      <c r="B2" s="12" t="s">
        <v>75</v>
      </c>
      <c r="C2" s="12" t="s">
        <v>155</v>
      </c>
      <c r="D2" s="12" t="s">
        <v>156</v>
      </c>
      <c r="E2" s="12" t="s">
        <v>157</v>
      </c>
      <c r="G2" s="12" t="s">
        <v>154</v>
      </c>
      <c r="H2" s="12" t="s">
        <v>75</v>
      </c>
      <c r="I2" s="12" t="s">
        <v>43</v>
      </c>
      <c r="J2" s="12" t="s">
        <v>73</v>
      </c>
      <c r="K2" s="12" t="s">
        <v>158</v>
      </c>
      <c r="L2" s="12" t="s">
        <v>44</v>
      </c>
    </row>
    <row r="3" spans="1:12" ht="14.5" x14ac:dyDescent="0.35">
      <c r="A3" s="49">
        <v>46106</v>
      </c>
      <c r="B3" s="39">
        <v>46082</v>
      </c>
      <c r="C3" s="12">
        <v>8342</v>
      </c>
      <c r="D3" s="21">
        <f t="shared" ref="D3:D4" si="0">C3</f>
        <v>8342</v>
      </c>
      <c r="E3" s="36">
        <v>0</v>
      </c>
      <c r="G3" s="49">
        <v>46106</v>
      </c>
      <c r="H3" s="39">
        <v>46082</v>
      </c>
      <c r="I3" s="12">
        <v>0</v>
      </c>
      <c r="J3" s="21">
        <f t="shared" ref="J3:J5" si="1">D3</f>
        <v>8342</v>
      </c>
      <c r="K3" s="12">
        <v>3008</v>
      </c>
      <c r="L3" s="21">
        <f t="shared" ref="L3:L5" si="2">I3+J3-K3</f>
        <v>5334</v>
      </c>
    </row>
    <row r="4" spans="1:12" ht="14.5" x14ac:dyDescent="0.35">
      <c r="A4" s="14">
        <v>46136</v>
      </c>
      <c r="B4" s="39">
        <v>46113</v>
      </c>
      <c r="C4" s="12">
        <v>2080</v>
      </c>
      <c r="D4" s="21">
        <f t="shared" si="0"/>
        <v>2080</v>
      </c>
      <c r="E4" s="36"/>
      <c r="G4" s="14">
        <v>46136</v>
      </c>
      <c r="H4" s="39">
        <v>46113</v>
      </c>
      <c r="I4" s="21">
        <f t="shared" ref="I4:I5" si="3">L3</f>
        <v>5334</v>
      </c>
      <c r="J4" s="21">
        <f t="shared" si="1"/>
        <v>2080</v>
      </c>
      <c r="K4" s="12">
        <v>1647</v>
      </c>
      <c r="L4" s="21">
        <f t="shared" si="2"/>
        <v>5767</v>
      </c>
    </row>
    <row r="5" spans="1:12" ht="14.5" x14ac:dyDescent="0.35">
      <c r="A5" s="14">
        <v>46167</v>
      </c>
      <c r="B5" s="39">
        <v>46143</v>
      </c>
      <c r="C5" s="12">
        <v>5211</v>
      </c>
      <c r="D5" s="12">
        <v>5211</v>
      </c>
      <c r="E5" s="36"/>
      <c r="G5" s="14">
        <v>46167</v>
      </c>
      <c r="H5" s="39">
        <v>46143</v>
      </c>
      <c r="I5" s="21">
        <f t="shared" si="3"/>
        <v>5767</v>
      </c>
      <c r="J5" s="21">
        <f t="shared" si="1"/>
        <v>5211</v>
      </c>
      <c r="K5" s="21">
        <v>3678</v>
      </c>
      <c r="L5" s="21">
        <f t="shared" si="2"/>
        <v>7300</v>
      </c>
    </row>
    <row r="6" spans="1:12" ht="14.5" x14ac:dyDescent="0.35">
      <c r="A6" s="14"/>
      <c r="B6" s="39"/>
      <c r="C6" s="12"/>
      <c r="D6" s="21"/>
      <c r="E6" s="36"/>
    </row>
    <row r="7" spans="1:12" ht="14.5" x14ac:dyDescent="0.35">
      <c r="B7" s="39"/>
      <c r="C7" s="12"/>
      <c r="D7" s="21">
        <f>SUM(D3:D5)/3</f>
        <v>5211</v>
      </c>
      <c r="E7" s="36"/>
    </row>
    <row r="8" spans="1:12" ht="14.5" x14ac:dyDescent="0.35">
      <c r="A8" s="14"/>
      <c r="B8" s="39"/>
      <c r="C8" s="12"/>
      <c r="D8" s="21"/>
      <c r="E8" s="36"/>
    </row>
    <row r="9" spans="1:12" ht="14.5" x14ac:dyDescent="0.35">
      <c r="A9" s="49"/>
      <c r="B9" s="39"/>
      <c r="C9" s="12"/>
      <c r="D9" s="21"/>
      <c r="E9" s="36"/>
    </row>
    <row r="10" spans="1:12" ht="14.5" x14ac:dyDescent="0.35">
      <c r="A10" s="49"/>
      <c r="B10" s="39"/>
      <c r="C10" s="12"/>
      <c r="D10" s="21"/>
      <c r="E10" s="36"/>
    </row>
    <row r="11" spans="1:12" ht="14.5" x14ac:dyDescent="0.35">
      <c r="A11" s="49"/>
      <c r="B11" s="39"/>
      <c r="C11" s="12"/>
      <c r="D11" s="21"/>
      <c r="E11" s="36"/>
    </row>
    <row r="12" spans="1:12" ht="14.5" x14ac:dyDescent="0.35">
      <c r="A12" s="49"/>
      <c r="B12" s="39"/>
      <c r="C12" s="12"/>
      <c r="D12" s="21"/>
      <c r="E12" s="36"/>
    </row>
    <row r="13" spans="1:12" ht="14.5" x14ac:dyDescent="0.35">
      <c r="A13" s="49"/>
      <c r="B13" s="39"/>
      <c r="C13" s="12"/>
      <c r="D13" s="21"/>
      <c r="E13" s="36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511811024" right="0.511811024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8"/>
  <dimension ref="A1:M1000"/>
  <sheetViews>
    <sheetView workbookViewId="0"/>
  </sheetViews>
  <sheetFormatPr defaultColWidth="14.453125" defaultRowHeight="15" customHeight="1" x14ac:dyDescent="0.35"/>
  <cols>
    <col min="1" max="1" width="14" customWidth="1"/>
    <col min="2" max="2" width="17.26953125" customWidth="1"/>
    <col min="3" max="3" width="31.54296875" customWidth="1"/>
    <col min="4" max="4" width="42.453125" customWidth="1"/>
    <col min="5" max="5" width="37.26953125" customWidth="1"/>
    <col min="6" max="6" width="8.7265625" customWidth="1"/>
    <col min="7" max="7" width="14" customWidth="1"/>
    <col min="8" max="8" width="17.26953125" customWidth="1"/>
    <col min="9" max="9" width="11.54296875" customWidth="1"/>
    <col min="10" max="10" width="17.81640625" customWidth="1"/>
    <col min="11" max="11" width="14.1796875" customWidth="1"/>
    <col min="12" max="12" width="10.26953125" customWidth="1"/>
    <col min="13" max="26" width="8.7265625" customWidth="1"/>
  </cols>
  <sheetData>
    <row r="1" spans="1:13" ht="14.5" x14ac:dyDescent="0.35">
      <c r="A1" s="12" t="s">
        <v>159</v>
      </c>
      <c r="G1" s="12" t="s">
        <v>160</v>
      </c>
    </row>
    <row r="2" spans="1:13" ht="14.5" x14ac:dyDescent="0.35">
      <c r="A2" s="12" t="s">
        <v>154</v>
      </c>
      <c r="B2" s="12" t="s">
        <v>75</v>
      </c>
      <c r="C2" s="12" t="s">
        <v>161</v>
      </c>
      <c r="D2" s="12" t="s">
        <v>162</v>
      </c>
      <c r="E2" s="12" t="s">
        <v>163</v>
      </c>
      <c r="G2" s="12" t="s">
        <v>154</v>
      </c>
      <c r="H2" s="12" t="s">
        <v>75</v>
      </c>
      <c r="I2" s="12" t="s">
        <v>43</v>
      </c>
      <c r="J2" s="12" t="s">
        <v>73</v>
      </c>
      <c r="K2" s="12" t="s">
        <v>158</v>
      </c>
      <c r="L2" s="12" t="s">
        <v>44</v>
      </c>
    </row>
    <row r="3" spans="1:13" ht="14.5" x14ac:dyDescent="0.35">
      <c r="A3" s="49">
        <v>45796</v>
      </c>
      <c r="B3" s="39">
        <v>45778</v>
      </c>
      <c r="C3" s="12">
        <v>849</v>
      </c>
      <c r="D3" s="21">
        <f t="shared" ref="D3:D13" si="0">77%*C3</f>
        <v>653.73</v>
      </c>
      <c r="E3" s="36">
        <f t="shared" ref="E3:E13" si="1">21%*C3</f>
        <v>178.29</v>
      </c>
    </row>
    <row r="4" spans="1:13" ht="14.5" x14ac:dyDescent="0.35">
      <c r="A4" s="14">
        <v>45826</v>
      </c>
      <c r="B4" s="39">
        <v>45809</v>
      </c>
      <c r="C4" s="12">
        <v>2837</v>
      </c>
      <c r="D4" s="21">
        <f t="shared" si="0"/>
        <v>2184.4900000000002</v>
      </c>
      <c r="E4" s="36">
        <f t="shared" si="1"/>
        <v>595.77</v>
      </c>
      <c r="G4" s="49">
        <v>45822</v>
      </c>
      <c r="H4" s="39">
        <v>45809</v>
      </c>
      <c r="I4" s="12">
        <f t="shared" ref="I4:I13" si="2">L3</f>
        <v>0</v>
      </c>
      <c r="J4" s="12">
        <f t="shared" ref="J4:J13" si="3">K4+L4-I4</f>
        <v>178.29</v>
      </c>
      <c r="K4" s="12">
        <v>178.29</v>
      </c>
      <c r="L4" s="12">
        <v>0</v>
      </c>
    </row>
    <row r="5" spans="1:13" ht="14.5" x14ac:dyDescent="0.35">
      <c r="A5" s="14">
        <v>45856</v>
      </c>
      <c r="B5" s="39">
        <v>45839</v>
      </c>
      <c r="C5" s="12">
        <v>2642</v>
      </c>
      <c r="D5" s="21">
        <f t="shared" si="0"/>
        <v>2034.3400000000001</v>
      </c>
      <c r="E5" s="36">
        <f t="shared" si="1"/>
        <v>554.81999999999994</v>
      </c>
      <c r="H5" s="39">
        <v>45839</v>
      </c>
      <c r="I5" s="12">
        <f t="shared" si="2"/>
        <v>0</v>
      </c>
      <c r="J5" s="12">
        <f t="shared" si="3"/>
        <v>595.77</v>
      </c>
      <c r="K5" s="12">
        <v>585</v>
      </c>
      <c r="L5" s="12">
        <v>10.77</v>
      </c>
    </row>
    <row r="6" spans="1:13" ht="14.5" x14ac:dyDescent="0.35">
      <c r="A6" s="14">
        <v>45888</v>
      </c>
      <c r="B6" s="39">
        <v>45870</v>
      </c>
      <c r="C6" s="12">
        <v>2926</v>
      </c>
      <c r="D6" s="21">
        <f t="shared" si="0"/>
        <v>2253.02</v>
      </c>
      <c r="E6" s="36">
        <f t="shared" si="1"/>
        <v>614.45999999999992</v>
      </c>
      <c r="G6" s="14">
        <v>46248</v>
      </c>
      <c r="H6" s="39">
        <v>45870</v>
      </c>
      <c r="I6" s="12">
        <f t="shared" si="2"/>
        <v>10.77</v>
      </c>
      <c r="J6" s="12">
        <f t="shared" si="3"/>
        <v>554.82000000000005</v>
      </c>
      <c r="K6" s="12">
        <v>565.59</v>
      </c>
      <c r="L6" s="12">
        <v>0</v>
      </c>
    </row>
    <row r="7" spans="1:13" ht="14.5" x14ac:dyDescent="0.35">
      <c r="B7" s="39">
        <v>45901</v>
      </c>
      <c r="C7" s="12">
        <v>0</v>
      </c>
      <c r="D7" s="21">
        <f t="shared" si="0"/>
        <v>0</v>
      </c>
      <c r="E7" s="36">
        <f t="shared" si="1"/>
        <v>0</v>
      </c>
      <c r="G7" s="14">
        <v>45915</v>
      </c>
      <c r="H7" s="39">
        <v>45901</v>
      </c>
      <c r="I7" s="12">
        <f t="shared" si="2"/>
        <v>0</v>
      </c>
      <c r="J7" s="12">
        <f t="shared" si="3"/>
        <v>614</v>
      </c>
      <c r="K7" s="12">
        <v>614</v>
      </c>
      <c r="L7" s="12">
        <v>0</v>
      </c>
    </row>
    <row r="8" spans="1:13" ht="14.5" x14ac:dyDescent="0.35">
      <c r="A8" s="14">
        <v>45950</v>
      </c>
      <c r="B8" s="39">
        <v>45931</v>
      </c>
      <c r="C8" s="12">
        <v>4231</v>
      </c>
      <c r="D8" s="21">
        <f t="shared" si="0"/>
        <v>3257.87</v>
      </c>
      <c r="E8" s="36">
        <f t="shared" si="1"/>
        <v>888.51</v>
      </c>
      <c r="G8" s="49">
        <v>45945</v>
      </c>
      <c r="H8" s="39">
        <v>45931</v>
      </c>
      <c r="I8" s="12">
        <f t="shared" si="2"/>
        <v>0</v>
      </c>
      <c r="J8" s="12">
        <f t="shared" si="3"/>
        <v>0</v>
      </c>
      <c r="K8" s="12">
        <v>0</v>
      </c>
      <c r="L8" s="12">
        <v>0</v>
      </c>
    </row>
    <row r="9" spans="1:13" ht="14.5" x14ac:dyDescent="0.35">
      <c r="A9" s="49">
        <v>45979</v>
      </c>
      <c r="B9" s="39">
        <v>45962</v>
      </c>
      <c r="C9" s="12">
        <v>4045</v>
      </c>
      <c r="D9" s="21">
        <f t="shared" si="0"/>
        <v>3114.65</v>
      </c>
      <c r="E9" s="36">
        <f t="shared" si="1"/>
        <v>849.44999999999993</v>
      </c>
      <c r="G9" s="49">
        <v>45974</v>
      </c>
      <c r="H9" s="39">
        <v>45962</v>
      </c>
      <c r="I9" s="12">
        <f t="shared" si="2"/>
        <v>0</v>
      </c>
      <c r="J9" s="12">
        <f t="shared" si="3"/>
        <v>888.51</v>
      </c>
      <c r="K9" s="12">
        <v>680</v>
      </c>
      <c r="L9" s="12">
        <v>208.51</v>
      </c>
    </row>
    <row r="10" spans="1:13" ht="14.5" x14ac:dyDescent="0.35">
      <c r="A10" s="49">
        <v>46008</v>
      </c>
      <c r="B10" s="39">
        <v>45992</v>
      </c>
      <c r="C10" s="12">
        <v>2235</v>
      </c>
      <c r="D10" s="21">
        <f t="shared" si="0"/>
        <v>1720.95</v>
      </c>
      <c r="E10" s="36">
        <f t="shared" si="1"/>
        <v>469.34999999999997</v>
      </c>
      <c r="G10" s="14">
        <v>46369</v>
      </c>
      <c r="H10" s="39">
        <v>45992</v>
      </c>
      <c r="I10" s="12">
        <f t="shared" si="2"/>
        <v>208.51</v>
      </c>
      <c r="J10" s="12">
        <f t="shared" si="3"/>
        <v>849.49</v>
      </c>
      <c r="K10" s="12">
        <v>705</v>
      </c>
      <c r="L10" s="12">
        <v>353</v>
      </c>
    </row>
    <row r="11" spans="1:13" ht="14.5" x14ac:dyDescent="0.35">
      <c r="A11" s="49">
        <v>46041</v>
      </c>
      <c r="B11" s="39">
        <v>46023</v>
      </c>
      <c r="C11" s="12">
        <v>2169</v>
      </c>
      <c r="D11" s="21">
        <f t="shared" si="0"/>
        <v>1670.13</v>
      </c>
      <c r="E11" s="36">
        <f t="shared" si="1"/>
        <v>455.49</v>
      </c>
      <c r="G11" s="49">
        <v>46036</v>
      </c>
      <c r="H11" s="39">
        <v>46023</v>
      </c>
      <c r="I11" s="12">
        <f t="shared" si="2"/>
        <v>353</v>
      </c>
      <c r="J11" s="12">
        <f t="shared" si="3"/>
        <v>469.13099999999997</v>
      </c>
      <c r="K11" s="12">
        <v>782</v>
      </c>
      <c r="L11" s="12">
        <v>40.131</v>
      </c>
    </row>
    <row r="12" spans="1:13" ht="14.5" x14ac:dyDescent="0.35">
      <c r="A12" s="49">
        <v>46071</v>
      </c>
      <c r="B12" s="39">
        <v>46054</v>
      </c>
      <c r="C12" s="12">
        <v>4093</v>
      </c>
      <c r="D12" s="21">
        <f t="shared" si="0"/>
        <v>3151.61</v>
      </c>
      <c r="E12" s="36">
        <f t="shared" si="1"/>
        <v>859.53</v>
      </c>
      <c r="G12" s="14">
        <v>46065</v>
      </c>
      <c r="H12" s="39">
        <v>46054</v>
      </c>
      <c r="I12" s="12">
        <f t="shared" si="2"/>
        <v>40.131</v>
      </c>
      <c r="J12" s="12">
        <f t="shared" si="3"/>
        <v>455.66899999999998</v>
      </c>
      <c r="K12" s="12">
        <v>495.8</v>
      </c>
      <c r="L12" s="12">
        <v>0</v>
      </c>
    </row>
    <row r="13" spans="1:13" ht="14.5" x14ac:dyDescent="0.35">
      <c r="A13" s="49">
        <v>46100</v>
      </c>
      <c r="B13" s="39">
        <v>46082</v>
      </c>
      <c r="C13" s="12">
        <v>3736</v>
      </c>
      <c r="D13" s="21">
        <f t="shared" si="0"/>
        <v>2876.7200000000003</v>
      </c>
      <c r="E13" s="36">
        <f t="shared" si="1"/>
        <v>784.56</v>
      </c>
      <c r="G13" s="14">
        <v>46097</v>
      </c>
      <c r="H13" s="39">
        <v>46082</v>
      </c>
      <c r="I13" s="12">
        <f t="shared" si="2"/>
        <v>0</v>
      </c>
      <c r="J13" s="12">
        <f t="shared" si="3"/>
        <v>859.53</v>
      </c>
      <c r="K13" s="12">
        <v>781</v>
      </c>
      <c r="L13" s="12">
        <v>78.53</v>
      </c>
      <c r="M13" s="36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511811024" right="0.511811024" top="0.78740157499999996" bottom="0.78740157499999996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9"/>
  <dimension ref="A1:U1000"/>
  <sheetViews>
    <sheetView workbookViewId="0">
      <pane xSplit="1" ySplit="2" topLeftCell="G31" activePane="bottomRight" state="frozen"/>
      <selection pane="topRight" activeCell="B1" sqref="B1"/>
      <selection pane="bottomLeft" activeCell="A3" sqref="A3"/>
      <selection pane="bottomRight" activeCell="Q45" sqref="Q45:R45"/>
    </sheetView>
  </sheetViews>
  <sheetFormatPr defaultColWidth="14.453125" defaultRowHeight="15" customHeight="1" x14ac:dyDescent="0.35"/>
  <cols>
    <col min="1" max="6" width="17.26953125" customWidth="1"/>
    <col min="7" max="9" width="15.26953125" customWidth="1"/>
    <col min="10" max="10" width="15" customWidth="1"/>
    <col min="11" max="11" width="22.1796875" customWidth="1"/>
    <col min="12" max="12" width="23.81640625" customWidth="1"/>
    <col min="13" max="14" width="15.81640625" customWidth="1"/>
    <col min="15" max="15" width="9.453125" customWidth="1"/>
    <col min="16" max="18" width="15" customWidth="1"/>
    <col min="19" max="19" width="9.26953125" customWidth="1"/>
    <col min="20" max="21" width="8.7265625" customWidth="1"/>
  </cols>
  <sheetData>
    <row r="1" spans="1:19" ht="14.5" x14ac:dyDescent="0.35">
      <c r="A1" s="50" t="s">
        <v>1</v>
      </c>
      <c r="B1" s="50" t="s">
        <v>164</v>
      </c>
      <c r="C1" s="50" t="s">
        <v>164</v>
      </c>
      <c r="D1" s="50" t="s">
        <v>164</v>
      </c>
      <c r="E1" s="50" t="s">
        <v>164</v>
      </c>
      <c r="F1" s="50" t="s">
        <v>164</v>
      </c>
      <c r="G1" s="50" t="s">
        <v>165</v>
      </c>
      <c r="H1" s="50" t="s">
        <v>165</v>
      </c>
      <c r="I1" s="50" t="s">
        <v>165</v>
      </c>
      <c r="J1" s="50" t="s">
        <v>166</v>
      </c>
      <c r="K1" s="50" t="s">
        <v>167</v>
      </c>
      <c r="L1" s="50" t="s">
        <v>167</v>
      </c>
      <c r="M1" s="50" t="s">
        <v>168</v>
      </c>
      <c r="N1" s="50" t="s">
        <v>169</v>
      </c>
      <c r="O1" s="50" t="s">
        <v>169</v>
      </c>
      <c r="P1" s="50" t="s">
        <v>169</v>
      </c>
      <c r="Q1" s="50" t="s">
        <v>170</v>
      </c>
      <c r="R1" s="50" t="s">
        <v>170</v>
      </c>
      <c r="S1" s="50" t="s">
        <v>171</v>
      </c>
    </row>
    <row r="2" spans="1:19" ht="14.5" x14ac:dyDescent="0.35">
      <c r="A2" s="50" t="s">
        <v>172</v>
      </c>
      <c r="B2" s="50" t="s">
        <v>173</v>
      </c>
      <c r="C2" s="50" t="s">
        <v>174</v>
      </c>
      <c r="D2" s="50" t="s">
        <v>175</v>
      </c>
      <c r="E2" s="50" t="s">
        <v>175</v>
      </c>
      <c r="F2" s="50" t="s">
        <v>164</v>
      </c>
      <c r="G2" s="50" t="s">
        <v>176</v>
      </c>
      <c r="H2" s="50" t="s">
        <v>177</v>
      </c>
      <c r="I2" s="50" t="s">
        <v>178</v>
      </c>
      <c r="J2" s="50" t="s">
        <v>179</v>
      </c>
      <c r="K2" s="50" t="s">
        <v>180</v>
      </c>
      <c r="L2" s="50" t="s">
        <v>181</v>
      </c>
      <c r="M2" s="50" t="s">
        <v>182</v>
      </c>
      <c r="N2" s="50" t="s">
        <v>183</v>
      </c>
      <c r="O2" s="50" t="s">
        <v>184</v>
      </c>
      <c r="P2" s="50" t="s">
        <v>185</v>
      </c>
      <c r="Q2" s="51">
        <v>0.1</v>
      </c>
      <c r="R2" s="51" t="s">
        <v>175</v>
      </c>
      <c r="S2" s="51" t="s">
        <v>186</v>
      </c>
    </row>
    <row r="3" spans="1:19" ht="14.5" x14ac:dyDescent="0.35">
      <c r="A3" s="50" t="s">
        <v>49</v>
      </c>
      <c r="B3" s="50" t="s">
        <v>187</v>
      </c>
      <c r="C3" s="50" t="s">
        <v>187</v>
      </c>
      <c r="D3" s="50" t="s">
        <v>187</v>
      </c>
      <c r="E3" s="50" t="s">
        <v>188</v>
      </c>
      <c r="F3" s="50" t="s">
        <v>187</v>
      </c>
      <c r="G3" s="50" t="s">
        <v>189</v>
      </c>
      <c r="H3" s="50" t="s">
        <v>189</v>
      </c>
      <c r="I3" s="50" t="s">
        <v>189</v>
      </c>
      <c r="J3" s="50" t="s">
        <v>50</v>
      </c>
      <c r="K3" s="50" t="s">
        <v>50</v>
      </c>
      <c r="L3" s="50" t="s">
        <v>50</v>
      </c>
      <c r="M3" s="50" t="s">
        <v>50</v>
      </c>
      <c r="N3" s="50" t="s">
        <v>190</v>
      </c>
      <c r="O3" s="50" t="s">
        <v>190</v>
      </c>
      <c r="P3" s="50" t="s">
        <v>190</v>
      </c>
      <c r="Q3" s="50" t="s">
        <v>190</v>
      </c>
      <c r="R3" s="50" t="s">
        <v>190</v>
      </c>
      <c r="S3" s="50" t="s">
        <v>187</v>
      </c>
    </row>
    <row r="4" spans="1:19" ht="14.5" x14ac:dyDescent="0.35">
      <c r="A4" s="52">
        <v>44986</v>
      </c>
      <c r="B4" s="53"/>
      <c r="C4" s="53"/>
      <c r="D4" s="53"/>
      <c r="E4" s="53"/>
      <c r="F4" s="54">
        <v>1.10433</v>
      </c>
      <c r="G4" s="55"/>
      <c r="H4" s="55"/>
      <c r="I4" s="55"/>
      <c r="J4" s="56">
        <f t="shared" ref="J4:J13" si="0">K4+L4</f>
        <v>3074</v>
      </c>
      <c r="K4" s="55">
        <v>389</v>
      </c>
      <c r="L4" s="57">
        <v>2685</v>
      </c>
      <c r="M4" s="55">
        <v>289</v>
      </c>
      <c r="N4" s="55">
        <v>0</v>
      </c>
      <c r="O4" s="58">
        <f t="shared" ref="O4:O23" si="1">F4*J4</f>
        <v>3394.7104199999999</v>
      </c>
      <c r="P4" s="58">
        <f t="shared" ref="P4:P5" si="2">O4*90%-K4*F4</f>
        <v>2625.6550079999997</v>
      </c>
      <c r="Q4" s="58">
        <f t="shared" ref="Q4:Q44" si="3">10%*O4</f>
        <v>339.47104200000001</v>
      </c>
      <c r="R4" s="58"/>
      <c r="S4" s="58">
        <f t="shared" ref="S4:S44" si="4">P4/J4</f>
        <v>0.85414931945348072</v>
      </c>
    </row>
    <row r="5" spans="1:19" ht="14.5" x14ac:dyDescent="0.35">
      <c r="A5" s="52">
        <v>45017</v>
      </c>
      <c r="B5" s="53"/>
      <c r="C5" s="53"/>
      <c r="D5" s="53"/>
      <c r="E5" s="53"/>
      <c r="F5" s="59">
        <v>1.1946700000000001</v>
      </c>
      <c r="G5" s="55"/>
      <c r="H5" s="55"/>
      <c r="I5" s="55"/>
      <c r="J5" s="56">
        <f t="shared" si="0"/>
        <v>2351</v>
      </c>
      <c r="K5" s="60">
        <v>837</v>
      </c>
      <c r="L5" s="61">
        <v>1514</v>
      </c>
      <c r="M5" s="55">
        <v>737</v>
      </c>
      <c r="N5" s="55">
        <v>0</v>
      </c>
      <c r="O5" s="58">
        <f t="shared" si="1"/>
        <v>2808.6691700000001</v>
      </c>
      <c r="P5" s="58">
        <f t="shared" si="2"/>
        <v>1527.8634630000001</v>
      </c>
      <c r="Q5" s="58">
        <f t="shared" si="3"/>
        <v>280.866917</v>
      </c>
      <c r="R5" s="58"/>
      <c r="S5" s="58">
        <f t="shared" si="4"/>
        <v>0.64987812122501065</v>
      </c>
    </row>
    <row r="6" spans="1:19" ht="14.5" x14ac:dyDescent="0.35">
      <c r="A6" s="52">
        <v>45047</v>
      </c>
      <c r="B6" s="53"/>
      <c r="C6" s="53"/>
      <c r="D6" s="53"/>
      <c r="E6" s="53"/>
      <c r="F6" s="59">
        <v>1.1946700000000001</v>
      </c>
      <c r="G6" s="55"/>
      <c r="H6" s="55"/>
      <c r="I6" s="55"/>
      <c r="J6" s="56">
        <f t="shared" si="0"/>
        <v>2213.96</v>
      </c>
      <c r="K6" s="55">
        <v>953</v>
      </c>
      <c r="L6" s="55">
        <v>1260.96</v>
      </c>
      <c r="M6" s="55">
        <v>853</v>
      </c>
      <c r="N6" s="55">
        <v>0</v>
      </c>
      <c r="O6" s="58">
        <f t="shared" si="1"/>
        <v>2644.9515932000004</v>
      </c>
      <c r="P6" s="58">
        <f t="shared" ref="P6:P8" si="5">O6*90%</f>
        <v>2380.4564338800005</v>
      </c>
      <c r="Q6" s="58">
        <f t="shared" si="3"/>
        <v>264.49515932000003</v>
      </c>
      <c r="R6" s="58"/>
      <c r="S6" s="58">
        <f t="shared" si="4"/>
        <v>1.0752030000000001</v>
      </c>
    </row>
    <row r="7" spans="1:19" ht="14.5" x14ac:dyDescent="0.35">
      <c r="A7" s="52">
        <v>45078</v>
      </c>
      <c r="B7" s="53"/>
      <c r="C7" s="53"/>
      <c r="D7" s="53"/>
      <c r="E7" s="53"/>
      <c r="F7" s="54">
        <v>1.1537000000000002</v>
      </c>
      <c r="G7" s="55"/>
      <c r="H7" s="55"/>
      <c r="I7" s="55"/>
      <c r="J7" s="56">
        <f t="shared" si="0"/>
        <v>1180.9000000000001</v>
      </c>
      <c r="K7" s="55">
        <v>564</v>
      </c>
      <c r="L7" s="55">
        <v>616.90000000000009</v>
      </c>
      <c r="M7" s="55">
        <v>464</v>
      </c>
      <c r="N7" s="55">
        <v>0</v>
      </c>
      <c r="O7" s="58">
        <f t="shared" si="1"/>
        <v>1362.4043300000003</v>
      </c>
      <c r="P7" s="58">
        <f t="shared" si="5"/>
        <v>1226.1638970000004</v>
      </c>
      <c r="Q7" s="58">
        <f t="shared" si="3"/>
        <v>136.24043300000002</v>
      </c>
      <c r="R7" s="58"/>
      <c r="S7" s="58">
        <f t="shared" si="4"/>
        <v>1.0383300000000002</v>
      </c>
    </row>
    <row r="8" spans="1:19" ht="14.5" x14ac:dyDescent="0.35">
      <c r="A8" s="52">
        <v>45108</v>
      </c>
      <c r="B8" s="53"/>
      <c r="C8" s="53"/>
      <c r="D8" s="53"/>
      <c r="E8" s="53"/>
      <c r="F8" s="54">
        <v>1.1439999999999999</v>
      </c>
      <c r="G8" s="55"/>
      <c r="H8" s="55"/>
      <c r="I8" s="55"/>
      <c r="J8" s="56">
        <f t="shared" si="0"/>
        <v>1052</v>
      </c>
      <c r="K8" s="55">
        <v>512</v>
      </c>
      <c r="L8" s="55">
        <v>540</v>
      </c>
      <c r="M8" s="55">
        <v>412</v>
      </c>
      <c r="N8" s="55">
        <v>0</v>
      </c>
      <c r="O8" s="58">
        <f t="shared" si="1"/>
        <v>1203.4879999999998</v>
      </c>
      <c r="P8" s="58">
        <f t="shared" si="5"/>
        <v>1083.1391999999998</v>
      </c>
      <c r="Q8" s="58">
        <f t="shared" si="3"/>
        <v>120.34879999999998</v>
      </c>
      <c r="R8" s="58"/>
      <c r="S8" s="58">
        <f t="shared" si="4"/>
        <v>1.0295999999999998</v>
      </c>
    </row>
    <row r="9" spans="1:19" ht="14.5" x14ac:dyDescent="0.35">
      <c r="A9" s="52">
        <v>45139</v>
      </c>
      <c r="B9" s="53"/>
      <c r="C9" s="53"/>
      <c r="D9" s="53"/>
      <c r="E9" s="53"/>
      <c r="F9" s="54">
        <v>1.1826300000000001</v>
      </c>
      <c r="G9" s="55"/>
      <c r="H9" s="55"/>
      <c r="I9" s="55"/>
      <c r="J9" s="56">
        <f t="shared" si="0"/>
        <v>943.76</v>
      </c>
      <c r="K9" s="55">
        <v>392</v>
      </c>
      <c r="L9" s="55">
        <v>551.76</v>
      </c>
      <c r="M9" s="55">
        <v>292</v>
      </c>
      <c r="N9" s="55">
        <v>174.19</v>
      </c>
      <c r="O9" s="58">
        <f t="shared" si="1"/>
        <v>1116.1188888000001</v>
      </c>
      <c r="P9" s="58">
        <f t="shared" ref="P9:P22" si="6">O9*90%-N9</f>
        <v>830.31699992000017</v>
      </c>
      <c r="Q9" s="58">
        <f t="shared" si="3"/>
        <v>111.61188888000002</v>
      </c>
      <c r="R9" s="58"/>
      <c r="S9" s="58">
        <f t="shared" si="4"/>
        <v>0.87979677028058001</v>
      </c>
    </row>
    <row r="10" spans="1:19" ht="14.5" x14ac:dyDescent="0.35">
      <c r="A10" s="52">
        <v>45170</v>
      </c>
      <c r="B10" s="53"/>
      <c r="C10" s="53"/>
      <c r="D10" s="53"/>
      <c r="E10" s="53"/>
      <c r="F10" s="54">
        <v>1.22088</v>
      </c>
      <c r="G10" s="55"/>
      <c r="H10" s="55"/>
      <c r="I10" s="55"/>
      <c r="J10" s="56">
        <f t="shared" si="0"/>
        <v>1099</v>
      </c>
      <c r="K10" s="55">
        <v>701</v>
      </c>
      <c r="L10" s="57">
        <v>398</v>
      </c>
      <c r="M10" s="55">
        <v>601</v>
      </c>
      <c r="N10" s="55">
        <v>252.07</v>
      </c>
      <c r="O10" s="58">
        <f t="shared" si="1"/>
        <v>1341.74712</v>
      </c>
      <c r="P10" s="58">
        <f t="shared" si="6"/>
        <v>955.50240800000006</v>
      </c>
      <c r="Q10" s="58">
        <f t="shared" si="3"/>
        <v>134.174712</v>
      </c>
      <c r="R10" s="58"/>
      <c r="S10" s="58">
        <f t="shared" si="4"/>
        <v>0.86942894267515924</v>
      </c>
    </row>
    <row r="11" spans="1:19" ht="14.5" x14ac:dyDescent="0.35">
      <c r="A11" s="52">
        <v>45200</v>
      </c>
      <c r="B11" s="53"/>
      <c r="C11" s="53"/>
      <c r="D11" s="53"/>
      <c r="E11" s="53"/>
      <c r="F11" s="54">
        <f>0.40019+0.78695</f>
        <v>1.1871400000000001</v>
      </c>
      <c r="G11" s="55"/>
      <c r="H11" s="55"/>
      <c r="I11" s="55"/>
      <c r="J11" s="56">
        <f t="shared" si="0"/>
        <v>1306</v>
      </c>
      <c r="K11" s="55">
        <v>689</v>
      </c>
      <c r="L11" s="57">
        <v>617</v>
      </c>
      <c r="M11" s="55">
        <v>589</v>
      </c>
      <c r="N11" s="55">
        <v>248.58</v>
      </c>
      <c r="O11" s="58">
        <f t="shared" si="1"/>
        <v>1550.4048400000001</v>
      </c>
      <c r="P11" s="58">
        <f t="shared" si="6"/>
        <v>1146.7843560000003</v>
      </c>
      <c r="Q11" s="58">
        <f t="shared" si="3"/>
        <v>155.04048400000002</v>
      </c>
      <c r="R11" s="58"/>
      <c r="S11" s="58">
        <f t="shared" si="4"/>
        <v>0.87808909341500796</v>
      </c>
    </row>
    <row r="12" spans="1:19" ht="14.5" x14ac:dyDescent="0.35">
      <c r="A12" s="52">
        <v>45231</v>
      </c>
      <c r="B12" s="53"/>
      <c r="C12" s="53"/>
      <c r="D12" s="53"/>
      <c r="E12" s="53"/>
      <c r="F12" s="54">
        <v>1.1848000000000001</v>
      </c>
      <c r="G12" s="55"/>
      <c r="H12" s="55"/>
      <c r="I12" s="55"/>
      <c r="J12" s="56">
        <f t="shared" si="0"/>
        <v>1791</v>
      </c>
      <c r="K12" s="55">
        <v>640</v>
      </c>
      <c r="L12" s="57">
        <v>1151</v>
      </c>
      <c r="M12" s="55">
        <v>540</v>
      </c>
      <c r="N12" s="55">
        <v>243.76</v>
      </c>
      <c r="O12" s="58">
        <f t="shared" si="1"/>
        <v>2121.9767999999999</v>
      </c>
      <c r="P12" s="58">
        <f t="shared" si="6"/>
        <v>1666.0191199999999</v>
      </c>
      <c r="Q12" s="58">
        <f t="shared" si="3"/>
        <v>212.19767999999999</v>
      </c>
      <c r="R12" s="58"/>
      <c r="S12" s="58">
        <f t="shared" si="4"/>
        <v>0.9302172640982691</v>
      </c>
    </row>
    <row r="13" spans="1:19" ht="14.5" x14ac:dyDescent="0.35">
      <c r="A13" s="52">
        <v>45261</v>
      </c>
      <c r="B13" s="53"/>
      <c r="C13" s="53"/>
      <c r="D13" s="53"/>
      <c r="E13" s="53"/>
      <c r="F13" s="54">
        <v>1.22939</v>
      </c>
      <c r="G13" s="55"/>
      <c r="H13" s="55"/>
      <c r="I13" s="55"/>
      <c r="J13" s="56">
        <f t="shared" si="0"/>
        <v>1387</v>
      </c>
      <c r="K13" s="55">
        <v>561</v>
      </c>
      <c r="L13" s="57">
        <v>826</v>
      </c>
      <c r="M13" s="55">
        <v>461</v>
      </c>
      <c r="N13" s="55">
        <v>233.42</v>
      </c>
      <c r="O13" s="58">
        <f t="shared" si="1"/>
        <v>1705.1639299999999</v>
      </c>
      <c r="P13" s="58">
        <f t="shared" si="6"/>
        <v>1301.227537</v>
      </c>
      <c r="Q13" s="58">
        <f t="shared" si="3"/>
        <v>170.51639299999999</v>
      </c>
      <c r="R13" s="58"/>
      <c r="S13" s="58">
        <f t="shared" si="4"/>
        <v>0.93815972386445567</v>
      </c>
    </row>
    <row r="14" spans="1:19" ht="14.5" x14ac:dyDescent="0.35">
      <c r="A14" s="52">
        <v>45292</v>
      </c>
      <c r="B14" s="55"/>
      <c r="C14" s="55"/>
      <c r="D14" s="55">
        <v>0</v>
      </c>
      <c r="E14" s="55" t="s">
        <v>197</v>
      </c>
      <c r="F14" s="64">
        <v>0.95350000000000001</v>
      </c>
      <c r="G14" s="65">
        <v>0.18</v>
      </c>
      <c r="H14" s="66">
        <v>5.5399999999999998E-2</v>
      </c>
      <c r="I14" s="66">
        <v>1.2E-2</v>
      </c>
      <c r="J14" s="54">
        <v>277</v>
      </c>
      <c r="K14" s="55">
        <v>31</v>
      </c>
      <c r="L14" s="55"/>
      <c r="M14" s="55">
        <v>0</v>
      </c>
      <c r="N14" s="55">
        <v>122.36</v>
      </c>
      <c r="O14" s="58">
        <f t="shared" si="1"/>
        <v>264.11950000000002</v>
      </c>
      <c r="P14" s="58">
        <f t="shared" si="6"/>
        <v>115.34755000000003</v>
      </c>
      <c r="Q14" s="58">
        <f t="shared" si="3"/>
        <v>26.411950000000004</v>
      </c>
      <c r="R14" s="58"/>
      <c r="S14" s="58">
        <f t="shared" si="4"/>
        <v>0.41641714801444052</v>
      </c>
    </row>
    <row r="15" spans="1:19" ht="14.5" x14ac:dyDescent="0.35">
      <c r="A15" s="52">
        <v>45323</v>
      </c>
      <c r="B15" s="70"/>
      <c r="C15" s="70"/>
      <c r="D15" s="70">
        <v>0</v>
      </c>
      <c r="E15" s="53" t="s">
        <v>197</v>
      </c>
      <c r="F15" s="64">
        <v>1.2172499999999999</v>
      </c>
      <c r="G15" s="65">
        <v>0.18</v>
      </c>
      <c r="H15" s="65">
        <v>5.2900000000000003E-2</v>
      </c>
      <c r="I15" s="66">
        <v>1.15E-2</v>
      </c>
      <c r="J15" s="54">
        <v>1327</v>
      </c>
      <c r="K15" s="55">
        <v>226</v>
      </c>
      <c r="L15" s="55"/>
      <c r="M15" s="55">
        <v>126</v>
      </c>
      <c r="N15" s="55">
        <v>327.45999999999998</v>
      </c>
      <c r="O15" s="58">
        <f t="shared" si="1"/>
        <v>1615.2907499999999</v>
      </c>
      <c r="P15" s="58">
        <f t="shared" si="6"/>
        <v>1126.3016749999999</v>
      </c>
      <c r="Q15" s="58">
        <f t="shared" si="3"/>
        <v>161.52907500000001</v>
      </c>
      <c r="R15" s="58"/>
      <c r="S15" s="58">
        <f t="shared" si="4"/>
        <v>0.84875785606631493</v>
      </c>
    </row>
    <row r="16" spans="1:19" ht="14.5" x14ac:dyDescent="0.35">
      <c r="A16" s="52">
        <v>45352</v>
      </c>
      <c r="B16" s="70">
        <v>0.40122999999999998</v>
      </c>
      <c r="C16" s="70">
        <v>0.78900999999999999</v>
      </c>
      <c r="D16" s="70">
        <v>0</v>
      </c>
      <c r="E16" s="53" t="s">
        <v>197</v>
      </c>
      <c r="F16" s="64">
        <f t="shared" ref="F16:F19" si="7">SUM(B16:D16)</f>
        <v>1.19024</v>
      </c>
      <c r="G16" s="65">
        <v>0.22</v>
      </c>
      <c r="H16" s="66">
        <v>3.5400000000000001E-2</v>
      </c>
      <c r="I16" s="66">
        <v>7.7999999999999996E-3</v>
      </c>
      <c r="J16" s="56">
        <v>3074</v>
      </c>
      <c r="K16" s="55">
        <v>699</v>
      </c>
      <c r="L16" s="55"/>
      <c r="M16" s="55">
        <v>599</v>
      </c>
      <c r="N16" s="55">
        <v>974.04</v>
      </c>
      <c r="O16" s="58">
        <f t="shared" si="1"/>
        <v>3658.7977599999999</v>
      </c>
      <c r="P16" s="58">
        <f t="shared" si="6"/>
        <v>2318.8779840000002</v>
      </c>
      <c r="Q16" s="58">
        <f t="shared" si="3"/>
        <v>365.87977599999999</v>
      </c>
      <c r="R16" s="58"/>
      <c r="S16" s="58">
        <f t="shared" si="4"/>
        <v>0.75435197918022123</v>
      </c>
    </row>
    <row r="17" spans="1:21" ht="14.5" x14ac:dyDescent="0.35">
      <c r="A17" s="52">
        <v>45383</v>
      </c>
      <c r="B17" s="70">
        <v>0.40350000000000003</v>
      </c>
      <c r="C17" s="70">
        <v>0.84087000000000001</v>
      </c>
      <c r="D17" s="70">
        <v>0</v>
      </c>
      <c r="E17" s="53" t="s">
        <v>197</v>
      </c>
      <c r="F17" s="64">
        <f t="shared" si="7"/>
        <v>1.24437</v>
      </c>
      <c r="G17" s="65">
        <v>0.24</v>
      </c>
      <c r="H17" s="66">
        <v>3.09E-2</v>
      </c>
      <c r="I17" s="66">
        <v>6.7999999999999996E-3</v>
      </c>
      <c r="J17" s="56">
        <v>2351</v>
      </c>
      <c r="K17" s="55">
        <v>642</v>
      </c>
      <c r="L17" s="55"/>
      <c r="M17" s="55">
        <v>542</v>
      </c>
      <c r="N17" s="55">
        <v>961.38</v>
      </c>
      <c r="O17" s="58">
        <f t="shared" si="1"/>
        <v>2925.5138699999998</v>
      </c>
      <c r="P17" s="58">
        <f t="shared" si="6"/>
        <v>1671.5824829999997</v>
      </c>
      <c r="Q17" s="58">
        <f t="shared" si="3"/>
        <v>292.55138699999998</v>
      </c>
      <c r="R17" s="58"/>
      <c r="S17" s="58">
        <f t="shared" si="4"/>
        <v>0.71100913781369612</v>
      </c>
    </row>
    <row r="18" spans="1:21" ht="14.5" x14ac:dyDescent="0.35">
      <c r="A18" s="52">
        <v>45413</v>
      </c>
      <c r="B18" s="70">
        <v>0.40819</v>
      </c>
      <c r="C18" s="70">
        <v>0.86280999999999997</v>
      </c>
      <c r="D18" s="70">
        <v>0</v>
      </c>
      <c r="E18" s="53" t="s">
        <v>197</v>
      </c>
      <c r="F18" s="64">
        <f t="shared" si="7"/>
        <v>1.2709999999999999</v>
      </c>
      <c r="G18" s="65">
        <v>0.24</v>
      </c>
      <c r="H18" s="66">
        <v>4.53E-2</v>
      </c>
      <c r="I18" s="66">
        <v>9.7000000000000003E-3</v>
      </c>
      <c r="J18" s="56">
        <v>2214</v>
      </c>
      <c r="K18" s="55">
        <v>958</v>
      </c>
      <c r="L18" s="55"/>
      <c r="M18" s="55">
        <v>858</v>
      </c>
      <c r="N18" s="55">
        <v>304.77999999999997</v>
      </c>
      <c r="O18" s="58">
        <f t="shared" si="1"/>
        <v>2813.9939999999997</v>
      </c>
      <c r="P18" s="58">
        <f t="shared" si="6"/>
        <v>2227.8145999999997</v>
      </c>
      <c r="Q18" s="58">
        <f t="shared" si="3"/>
        <v>281.39939999999996</v>
      </c>
      <c r="R18" s="58"/>
      <c r="S18" s="58">
        <f t="shared" si="4"/>
        <v>1.0062396567299006</v>
      </c>
    </row>
    <row r="19" spans="1:21" ht="14.5" x14ac:dyDescent="0.35">
      <c r="A19" s="52">
        <v>45444</v>
      </c>
      <c r="B19" s="70">
        <v>0.40962999999999999</v>
      </c>
      <c r="C19" s="70">
        <v>0.86584000000000005</v>
      </c>
      <c r="D19" s="70">
        <v>0</v>
      </c>
      <c r="E19" s="53" t="s">
        <v>197</v>
      </c>
      <c r="F19" s="64">
        <f t="shared" si="7"/>
        <v>1.2754700000000001</v>
      </c>
      <c r="G19" s="65">
        <v>0.24</v>
      </c>
      <c r="H19" s="66">
        <v>4.7899999999999998E-2</v>
      </c>
      <c r="I19" s="66">
        <v>1.04E-2</v>
      </c>
      <c r="J19" s="54">
        <v>1181</v>
      </c>
      <c r="K19" s="55">
        <v>862</v>
      </c>
      <c r="L19" s="55"/>
      <c r="M19" s="55">
        <v>762</v>
      </c>
      <c r="N19" s="55">
        <v>285.89999999999998</v>
      </c>
      <c r="O19" s="58">
        <f t="shared" si="1"/>
        <v>1506.3300700000002</v>
      </c>
      <c r="P19" s="58">
        <f t="shared" si="6"/>
        <v>1069.7970630000004</v>
      </c>
      <c r="Q19" s="58">
        <f t="shared" si="3"/>
        <v>150.63300700000002</v>
      </c>
      <c r="R19" s="58"/>
      <c r="S19" s="58">
        <f t="shared" si="4"/>
        <v>0.90584001947502157</v>
      </c>
    </row>
    <row r="20" spans="1:21" ht="14.5" x14ac:dyDescent="0.35">
      <c r="A20" s="52">
        <v>45474</v>
      </c>
      <c r="B20" s="70">
        <v>0.40548000000000001</v>
      </c>
      <c r="C20" s="70">
        <v>0.85709000000000002</v>
      </c>
      <c r="D20" s="70">
        <v>1.8849999999999999E-2</v>
      </c>
      <c r="E20" s="53" t="s">
        <v>198</v>
      </c>
      <c r="F20" s="64">
        <f t="shared" ref="F20:F30" si="8">SUM(B20:C20)</f>
        <v>1.26257</v>
      </c>
      <c r="G20" s="65">
        <v>0.24</v>
      </c>
      <c r="H20" s="66">
        <v>0.04</v>
      </c>
      <c r="I20" s="66">
        <v>8.6999999999999994E-3</v>
      </c>
      <c r="J20" s="56">
        <v>1052</v>
      </c>
      <c r="K20" s="55">
        <v>788</v>
      </c>
      <c r="L20" s="55"/>
      <c r="M20" s="55">
        <v>688</v>
      </c>
      <c r="N20" s="55">
        <v>269.06</v>
      </c>
      <c r="O20" s="58">
        <f t="shared" si="1"/>
        <v>1328.2236399999999</v>
      </c>
      <c r="P20" s="58">
        <f t="shared" si="6"/>
        <v>926.34127600000011</v>
      </c>
      <c r="Q20" s="58">
        <f t="shared" si="3"/>
        <v>132.82236399999999</v>
      </c>
      <c r="R20" s="58"/>
      <c r="S20" s="58">
        <f t="shared" si="4"/>
        <v>0.88055254372623581</v>
      </c>
      <c r="T20" s="12"/>
      <c r="U20" s="12"/>
    </row>
    <row r="21" spans="1:21" ht="15.75" customHeight="1" x14ac:dyDescent="0.35">
      <c r="A21" s="52">
        <v>45505</v>
      </c>
      <c r="B21" s="70">
        <v>0.40054000000000001</v>
      </c>
      <c r="C21" s="70">
        <v>0.84667999999999999</v>
      </c>
      <c r="D21" s="70">
        <v>1.366E-2</v>
      </c>
      <c r="E21" s="53" t="s">
        <v>198</v>
      </c>
      <c r="F21" s="64">
        <f t="shared" si="8"/>
        <v>1.24722</v>
      </c>
      <c r="G21" s="65">
        <v>0.24</v>
      </c>
      <c r="H21" s="66">
        <v>3.0499999999999999E-2</v>
      </c>
      <c r="I21" s="66">
        <v>6.6E-3</v>
      </c>
      <c r="J21" s="56">
        <v>944</v>
      </c>
      <c r="K21" s="55">
        <v>355</v>
      </c>
      <c r="L21" s="55"/>
      <c r="M21" s="55">
        <v>255</v>
      </c>
      <c r="N21" s="55">
        <v>177.89</v>
      </c>
      <c r="O21" s="58">
        <f t="shared" si="1"/>
        <v>1177.3756800000001</v>
      </c>
      <c r="P21" s="58">
        <f t="shared" si="6"/>
        <v>881.74811200000011</v>
      </c>
      <c r="Q21" s="58">
        <f t="shared" si="3"/>
        <v>117.73756800000001</v>
      </c>
      <c r="R21" s="58"/>
      <c r="S21" s="58">
        <f t="shared" si="4"/>
        <v>0.93405520338983061</v>
      </c>
    </row>
    <row r="22" spans="1:21" ht="15.75" customHeight="1" x14ac:dyDescent="0.35">
      <c r="A22" s="52">
        <v>45536</v>
      </c>
      <c r="B22" s="70">
        <v>0.40799000000000002</v>
      </c>
      <c r="C22" s="70">
        <v>0.86241999999999996</v>
      </c>
      <c r="D22" s="70">
        <v>2.7990000000000001E-2</v>
      </c>
      <c r="E22" s="53" t="s">
        <v>199</v>
      </c>
      <c r="F22" s="64">
        <f t="shared" si="8"/>
        <v>1.27041</v>
      </c>
      <c r="G22" s="65">
        <v>0.24</v>
      </c>
      <c r="H22" s="66">
        <v>4.4299999999999999E-2</v>
      </c>
      <c r="I22" s="66">
        <v>9.5999999999999992E-3</v>
      </c>
      <c r="J22" s="54">
        <v>1099</v>
      </c>
      <c r="K22" s="55">
        <v>592</v>
      </c>
      <c r="L22" s="55"/>
      <c r="M22" s="55">
        <v>492</v>
      </c>
      <c r="N22" s="55">
        <v>231.69</v>
      </c>
      <c r="O22" s="58">
        <f t="shared" si="1"/>
        <v>1396.1805899999999</v>
      </c>
      <c r="P22" s="58">
        <f t="shared" si="6"/>
        <v>1024.872531</v>
      </c>
      <c r="Q22" s="58">
        <f t="shared" si="3"/>
        <v>139.61805899999999</v>
      </c>
      <c r="R22" s="58"/>
      <c r="S22" s="58">
        <f t="shared" si="4"/>
        <v>0.93255007370336673</v>
      </c>
    </row>
    <row r="23" spans="1:21" ht="15.75" customHeight="1" x14ac:dyDescent="0.35">
      <c r="A23" s="52">
        <v>45566</v>
      </c>
      <c r="B23" s="70">
        <v>0.40901999999999999</v>
      </c>
      <c r="C23" s="70">
        <v>0.86453000000000002</v>
      </c>
      <c r="D23" s="70">
        <v>8.5260000000000002E-2</v>
      </c>
      <c r="E23" s="53" t="s">
        <v>200</v>
      </c>
      <c r="F23" s="64">
        <f t="shared" si="8"/>
        <v>1.27355</v>
      </c>
      <c r="G23" s="65">
        <v>0.24</v>
      </c>
      <c r="H23" s="66">
        <v>4.6699999999999998E-2</v>
      </c>
      <c r="I23" s="66">
        <v>1.0200000000000001E-2</v>
      </c>
      <c r="J23" s="56">
        <f>J11</f>
        <v>1306</v>
      </c>
      <c r="K23" s="55">
        <v>691</v>
      </c>
      <c r="L23" s="55"/>
      <c r="M23" s="55">
        <v>591</v>
      </c>
      <c r="N23" s="55">
        <v>258.52</v>
      </c>
      <c r="O23" s="58">
        <f t="shared" si="1"/>
        <v>1663.2563</v>
      </c>
      <c r="P23" s="58">
        <f>O23*90%-N23-D23*(J23-100)</f>
        <v>1135.5871099999999</v>
      </c>
      <c r="Q23" s="58">
        <f t="shared" si="3"/>
        <v>166.32563000000002</v>
      </c>
      <c r="R23" s="58"/>
      <c r="S23" s="58">
        <f t="shared" si="4"/>
        <v>0.8695153981623277</v>
      </c>
      <c r="T23" s="12"/>
      <c r="U23" s="12"/>
    </row>
    <row r="24" spans="1:21" ht="15.75" customHeight="1" x14ac:dyDescent="0.35">
      <c r="A24" s="52">
        <v>45597</v>
      </c>
      <c r="B24" s="70">
        <v>0.40329999999999999</v>
      </c>
      <c r="C24" s="70">
        <v>0.85250999999999999</v>
      </c>
      <c r="D24" s="70">
        <f>0.01203+0.05774</f>
        <v>6.9769999999999999E-2</v>
      </c>
      <c r="E24" s="53" t="s">
        <v>199</v>
      </c>
      <c r="F24" s="64">
        <f t="shared" si="8"/>
        <v>1.2558099999999999</v>
      </c>
      <c r="G24" s="65">
        <v>0.24</v>
      </c>
      <c r="H24" s="66">
        <v>3.5799999999999998E-2</v>
      </c>
      <c r="I24" s="66">
        <v>7.7999999999999996E-3</v>
      </c>
      <c r="J24" s="56">
        <f t="shared" ref="J24:J44" si="9">K24+L24</f>
        <v>2880</v>
      </c>
      <c r="K24" s="55">
        <v>698</v>
      </c>
      <c r="L24" s="55">
        <v>2182</v>
      </c>
      <c r="M24" s="55">
        <v>598</v>
      </c>
      <c r="N24" s="55">
        <v>254.88</v>
      </c>
      <c r="O24" s="58">
        <f t="shared" ref="O24:O25" si="10">(F24+D24)*J24</f>
        <v>3817.6704</v>
      </c>
      <c r="P24" s="58">
        <f t="shared" ref="P24:P25" si="11">O24-N24-Q24-R24</f>
        <v>2987.0627599999998</v>
      </c>
      <c r="Q24" s="58">
        <f t="shared" si="3"/>
        <v>381.76704000000001</v>
      </c>
      <c r="R24" s="58">
        <f t="shared" ref="R24:R44" si="12">(M24+L24)*D24</f>
        <v>193.9606</v>
      </c>
      <c r="S24" s="58">
        <f t="shared" si="4"/>
        <v>1.0371745694444443</v>
      </c>
      <c r="T24" s="12"/>
      <c r="U24" s="12"/>
    </row>
    <row r="25" spans="1:21" ht="15.75" customHeight="1" x14ac:dyDescent="0.35">
      <c r="A25" s="52">
        <v>45627</v>
      </c>
      <c r="B25" s="70">
        <v>0.40229999999999999</v>
      </c>
      <c r="C25" s="70">
        <v>0.85038000000000002</v>
      </c>
      <c r="D25" s="70">
        <v>1.4200000000000001E-2</v>
      </c>
      <c r="E25" s="53" t="s">
        <v>198</v>
      </c>
      <c r="F25" s="64">
        <f t="shared" si="8"/>
        <v>1.25268</v>
      </c>
      <c r="G25" s="65">
        <v>0.24</v>
      </c>
      <c r="H25" s="66">
        <v>3.3799999999999997E-2</v>
      </c>
      <c r="I25" s="66">
        <v>7.4000000000000003E-3</v>
      </c>
      <c r="J25" s="56">
        <f t="shared" si="9"/>
        <v>1563</v>
      </c>
      <c r="K25" s="55">
        <v>548</v>
      </c>
      <c r="L25" s="73">
        <f>((Registro_inversores!C6-Registro_inversores!C5)+(Registro_inversores!D6-Registro_inversores!D5)-'Créditos CP'!C26)</f>
        <v>1015</v>
      </c>
      <c r="M25" s="55">
        <v>448</v>
      </c>
      <c r="N25" s="55">
        <v>218.15</v>
      </c>
      <c r="O25" s="58">
        <f t="shared" si="10"/>
        <v>1980.1334400000001</v>
      </c>
      <c r="P25" s="58">
        <f t="shared" si="11"/>
        <v>1543.195496</v>
      </c>
      <c r="Q25" s="58">
        <f t="shared" si="3"/>
        <v>198.01334400000002</v>
      </c>
      <c r="R25" s="58">
        <f t="shared" si="12"/>
        <v>20.7746</v>
      </c>
      <c r="S25" s="58">
        <f t="shared" si="4"/>
        <v>0.98732917210492643</v>
      </c>
      <c r="T25" s="12"/>
      <c r="U25" s="12"/>
    </row>
    <row r="26" spans="1:21" ht="15.75" customHeight="1" x14ac:dyDescent="0.35">
      <c r="A26" s="52">
        <v>45658</v>
      </c>
      <c r="B26" s="70">
        <v>0.38229999999999997</v>
      </c>
      <c r="C26" s="70">
        <v>0.80810000000000004</v>
      </c>
      <c r="D26" s="70">
        <v>0</v>
      </c>
      <c r="E26" s="53" t="s">
        <v>197</v>
      </c>
      <c r="F26" s="64">
        <f t="shared" si="8"/>
        <v>1.1903999999999999</v>
      </c>
      <c r="G26" s="65">
        <v>0.18</v>
      </c>
      <c r="H26" s="66">
        <v>5.2299999999999999E-2</v>
      </c>
      <c r="I26" s="66">
        <v>1.12E-2</v>
      </c>
      <c r="J26" s="56">
        <f t="shared" si="9"/>
        <v>-361</v>
      </c>
      <c r="K26" s="55">
        <v>100</v>
      </c>
      <c r="L26" s="73">
        <f>((Registro_inversores!C7-Registro_inversores!C6)+(Registro_inversores!D7-Registro_inversores!D6)-'Créditos CP'!C27)</f>
        <v>-461</v>
      </c>
      <c r="M26" s="55">
        <v>0</v>
      </c>
      <c r="N26" s="55">
        <v>119.04</v>
      </c>
      <c r="O26" s="58">
        <f t="shared" ref="O26:O44" si="13">MAX((F26+D26)*J26,0)</f>
        <v>0</v>
      </c>
      <c r="P26" s="58">
        <f t="shared" ref="P26:P44" si="14">MAX(O26-N26-Q26-R26,0)</f>
        <v>0</v>
      </c>
      <c r="Q26" s="58">
        <f t="shared" si="3"/>
        <v>0</v>
      </c>
      <c r="R26" s="58">
        <f t="shared" si="12"/>
        <v>0</v>
      </c>
      <c r="S26" s="58">
        <f t="shared" si="4"/>
        <v>0</v>
      </c>
      <c r="T26" s="12"/>
      <c r="U26" s="12"/>
    </row>
    <row r="27" spans="1:21" ht="15.75" customHeight="1" x14ac:dyDescent="0.35">
      <c r="A27" s="52">
        <v>45689</v>
      </c>
      <c r="B27" s="70">
        <v>0.38430999999999998</v>
      </c>
      <c r="C27" s="70">
        <v>0.81254000000000004</v>
      </c>
      <c r="D27" s="70">
        <v>0</v>
      </c>
      <c r="E27" s="53" t="s">
        <v>197</v>
      </c>
      <c r="F27" s="64">
        <f t="shared" si="8"/>
        <v>1.19685</v>
      </c>
      <c r="G27" s="65">
        <v>0.18</v>
      </c>
      <c r="H27" s="66">
        <v>5.7500000000000002E-2</v>
      </c>
      <c r="I27" s="66">
        <v>1.15E-2</v>
      </c>
      <c r="J27" s="56">
        <f t="shared" si="9"/>
        <v>1866</v>
      </c>
      <c r="K27" s="55">
        <v>283</v>
      </c>
      <c r="L27" s="73">
        <f>Registro_inversores!AB9</f>
        <v>1583</v>
      </c>
      <c r="M27" s="55">
        <v>183</v>
      </c>
      <c r="N27" s="55">
        <v>166.63</v>
      </c>
      <c r="O27" s="58">
        <f t="shared" si="13"/>
        <v>2233.3220999999999</v>
      </c>
      <c r="P27" s="58">
        <f t="shared" si="14"/>
        <v>1843.3598899999997</v>
      </c>
      <c r="Q27" s="58">
        <f t="shared" si="3"/>
        <v>223.33221</v>
      </c>
      <c r="R27" s="58">
        <f t="shared" si="12"/>
        <v>0</v>
      </c>
      <c r="S27" s="58">
        <f t="shared" si="4"/>
        <v>0.98786703644158613</v>
      </c>
      <c r="T27" s="12"/>
      <c r="U27" s="12"/>
    </row>
    <row r="28" spans="1:21" ht="15.75" customHeight="1" x14ac:dyDescent="0.35">
      <c r="A28" s="52">
        <v>45717</v>
      </c>
      <c r="B28" s="70">
        <v>0.38761000000000001</v>
      </c>
      <c r="C28" s="70">
        <v>0.82082999999999995</v>
      </c>
      <c r="D28" s="70">
        <v>0</v>
      </c>
      <c r="E28" s="53" t="s">
        <v>197</v>
      </c>
      <c r="F28" s="64">
        <f t="shared" si="8"/>
        <v>1.20844</v>
      </c>
      <c r="G28" s="65">
        <v>0.24</v>
      </c>
      <c r="H28" s="66">
        <v>4.0000000000000001E-3</v>
      </c>
      <c r="I28" s="66">
        <v>8.0000000000000004E-4</v>
      </c>
      <c r="J28" s="56">
        <f t="shared" si="9"/>
        <v>2080.6428571428569</v>
      </c>
      <c r="K28" s="55">
        <v>518</v>
      </c>
      <c r="L28" s="73">
        <f>Registro_inversores!AC9</f>
        <v>1562.6428571428569</v>
      </c>
      <c r="M28" s="55">
        <v>418</v>
      </c>
      <c r="N28" s="55">
        <v>227.12</v>
      </c>
      <c r="O28" s="58">
        <f t="shared" si="13"/>
        <v>2514.3320542857141</v>
      </c>
      <c r="P28" s="58">
        <f t="shared" si="14"/>
        <v>2035.7788488571427</v>
      </c>
      <c r="Q28" s="58">
        <f t="shared" si="3"/>
        <v>251.43320542857143</v>
      </c>
      <c r="R28" s="58">
        <f t="shared" si="12"/>
        <v>0</v>
      </c>
      <c r="S28" s="58">
        <f t="shared" si="4"/>
        <v>0.9784374295032443</v>
      </c>
    </row>
    <row r="29" spans="1:21" ht="15.75" customHeight="1" x14ac:dyDescent="0.35">
      <c r="A29" s="52">
        <v>45748</v>
      </c>
      <c r="B29" s="70">
        <v>0.39467000000000002</v>
      </c>
      <c r="C29" s="70">
        <v>0.85016000000000003</v>
      </c>
      <c r="D29" s="70">
        <v>0</v>
      </c>
      <c r="E29" s="53" t="s">
        <v>197</v>
      </c>
      <c r="F29" s="64">
        <f t="shared" si="8"/>
        <v>1.2448300000000001</v>
      </c>
      <c r="G29" s="65">
        <v>0.24</v>
      </c>
      <c r="H29" s="66">
        <v>1.8100000000000002E-2</v>
      </c>
      <c r="I29" s="66">
        <v>3.8E-3</v>
      </c>
      <c r="J29" s="56">
        <f t="shared" si="9"/>
        <v>738</v>
      </c>
      <c r="K29" s="55">
        <v>738</v>
      </c>
      <c r="L29" s="73">
        <f>Registro_inversores!AD9</f>
        <v>0</v>
      </c>
      <c r="M29" s="55">
        <v>618</v>
      </c>
      <c r="N29" s="55">
        <v>282.86</v>
      </c>
      <c r="O29" s="58">
        <f t="shared" si="13"/>
        <v>918.68454000000008</v>
      </c>
      <c r="P29" s="58">
        <f t="shared" si="14"/>
        <v>543.95608600000003</v>
      </c>
      <c r="Q29" s="58">
        <f t="shared" si="3"/>
        <v>91.868454000000014</v>
      </c>
      <c r="R29" s="58">
        <f t="shared" si="12"/>
        <v>0</v>
      </c>
      <c r="S29" s="58">
        <f t="shared" si="4"/>
        <v>0.73706786720867212</v>
      </c>
    </row>
    <row r="30" spans="1:21" ht="15.75" customHeight="1" x14ac:dyDescent="0.35">
      <c r="A30" s="52">
        <v>45778</v>
      </c>
      <c r="B30" s="70">
        <v>0.41703000000000001</v>
      </c>
      <c r="C30" s="70">
        <v>0.89834000000000003</v>
      </c>
      <c r="D30" s="70">
        <v>1.2241999999999999E-2</v>
      </c>
      <c r="E30" s="53" t="s">
        <v>198</v>
      </c>
      <c r="F30" s="64">
        <f t="shared" si="8"/>
        <v>1.3153700000000002</v>
      </c>
      <c r="G30" s="65">
        <v>0.24</v>
      </c>
      <c r="H30" s="66">
        <v>6.1600000000000002E-2</v>
      </c>
      <c r="I30" s="66">
        <v>1.35E-2</v>
      </c>
      <c r="J30" s="56">
        <f t="shared" si="9"/>
        <v>2269.8823529411766</v>
      </c>
      <c r="K30" s="55">
        <v>525</v>
      </c>
      <c r="L30" s="73">
        <f>Registro_inversores!AE9</f>
        <v>1744.8823529411766</v>
      </c>
      <c r="M30" s="55">
        <v>425</v>
      </c>
      <c r="N30" s="55">
        <v>254.55</v>
      </c>
      <c r="O30" s="58">
        <f t="shared" si="13"/>
        <v>3013.5230503529419</v>
      </c>
      <c r="P30" s="58">
        <f t="shared" si="14"/>
        <v>2431.0570455529419</v>
      </c>
      <c r="Q30" s="58">
        <f t="shared" si="3"/>
        <v>301.35230503529419</v>
      </c>
      <c r="R30" s="58">
        <f t="shared" si="12"/>
        <v>26.563699764705884</v>
      </c>
      <c r="S30" s="58">
        <f t="shared" si="4"/>
        <v>1.0710057472374834</v>
      </c>
    </row>
    <row r="31" spans="1:21" ht="15.75" customHeight="1" x14ac:dyDescent="0.35">
      <c r="A31" s="52">
        <v>45809</v>
      </c>
      <c r="B31" s="70">
        <v>0.41422999999999999</v>
      </c>
      <c r="C31" s="70">
        <v>0.89217000000000002</v>
      </c>
      <c r="D31" s="70">
        <f>0.01452+0.0284</f>
        <v>4.292E-2</v>
      </c>
      <c r="E31" s="53" t="s">
        <v>199</v>
      </c>
      <c r="F31" s="64">
        <f t="shared" ref="F31:F44" si="15">SUM(B31:D31)</f>
        <v>1.3493200000000001</v>
      </c>
      <c r="G31" s="65">
        <v>0.24</v>
      </c>
      <c r="H31" s="66">
        <v>5.7200000000000001E-2</v>
      </c>
      <c r="I31" s="66">
        <v>1.26E-2</v>
      </c>
      <c r="J31" s="56">
        <f t="shared" si="9"/>
        <v>1428.1372549019607</v>
      </c>
      <c r="K31" s="55">
        <v>611</v>
      </c>
      <c r="L31" s="73">
        <f t="array" ref="L31">_xlfn.XLOOKUP(A31,Registro_inversores!H:H,Registro_inversores!T:T)</f>
        <v>817.13725490196066</v>
      </c>
      <c r="M31" s="55">
        <v>511</v>
      </c>
      <c r="N31" s="55">
        <v>275.39999999999998</v>
      </c>
      <c r="O31" s="58">
        <f t="shared" si="13"/>
        <v>1988.309811764706</v>
      </c>
      <c r="P31" s="58">
        <f t="shared" si="14"/>
        <v>1457.075179607843</v>
      </c>
      <c r="Q31" s="58">
        <f t="shared" si="3"/>
        <v>198.8309811764706</v>
      </c>
      <c r="R31" s="58">
        <f t="shared" si="12"/>
        <v>57.003650980392152</v>
      </c>
      <c r="S31" s="58">
        <f t="shared" si="4"/>
        <v>1.0202627055673783</v>
      </c>
    </row>
    <row r="32" spans="1:21" ht="15.75" customHeight="1" x14ac:dyDescent="0.35">
      <c r="A32" s="52">
        <v>45839</v>
      </c>
      <c r="B32" s="70">
        <v>0.40598000000000001</v>
      </c>
      <c r="C32" s="70">
        <v>0.87443000000000004</v>
      </c>
      <c r="D32" s="70">
        <v>6.1719999999999997E-2</v>
      </c>
      <c r="E32" s="53" t="s">
        <v>199</v>
      </c>
      <c r="F32" s="64">
        <f t="shared" si="15"/>
        <v>1.34213</v>
      </c>
      <c r="G32" s="65">
        <v>0.24</v>
      </c>
      <c r="H32" s="66">
        <v>4.0300000000000002E-2</v>
      </c>
      <c r="I32" s="66">
        <v>8.8000000000000005E-3</v>
      </c>
      <c r="J32" s="56">
        <f t="shared" si="9"/>
        <v>1017.333333333333</v>
      </c>
      <c r="K32" s="55">
        <v>344</v>
      </c>
      <c r="L32" s="73">
        <f t="array" ref="L32">_xlfn.XLOOKUP(A32,Registro_inversores!H:H,Registro_inversores!T:T)</f>
        <v>673.33333333333303</v>
      </c>
      <c r="M32" s="55">
        <v>264</v>
      </c>
      <c r="N32" s="55">
        <v>187.7</v>
      </c>
      <c r="O32" s="58">
        <f t="shared" si="13"/>
        <v>1428.1833999999997</v>
      </c>
      <c r="P32" s="58">
        <f t="shared" si="14"/>
        <v>1039.8128466666662</v>
      </c>
      <c r="Q32" s="58">
        <f t="shared" si="3"/>
        <v>142.81833999999998</v>
      </c>
      <c r="R32" s="58">
        <f t="shared" si="12"/>
        <v>57.85221333333331</v>
      </c>
      <c r="S32" s="58">
        <f t="shared" si="4"/>
        <v>1.0220965072083878</v>
      </c>
    </row>
    <row r="33" spans="1:19" ht="15.75" customHeight="1" x14ac:dyDescent="0.35">
      <c r="A33" s="52">
        <v>45870</v>
      </c>
      <c r="B33" s="70">
        <v>0.36841000000000002</v>
      </c>
      <c r="C33" s="70">
        <v>0.79344000000000003</v>
      </c>
      <c r="D33" s="70">
        <v>7.5910000000000005E-2</v>
      </c>
      <c r="E33" s="53" t="s">
        <v>199</v>
      </c>
      <c r="F33" s="64">
        <f t="shared" si="15"/>
        <v>1.23776</v>
      </c>
      <c r="G33" s="65">
        <v>0.18</v>
      </c>
      <c r="H33" s="66">
        <v>2.35E-2</v>
      </c>
      <c r="I33" s="66">
        <v>5.1999999999999998E-3</v>
      </c>
      <c r="J33" s="56">
        <f t="shared" si="9"/>
        <v>656.4285714285711</v>
      </c>
      <c r="K33" s="55">
        <v>257</v>
      </c>
      <c r="L33" s="73">
        <f t="array" ref="L33">_xlfn.XLOOKUP(A33,Registro_inversores!H:H,Registro_inversores!T:T)</f>
        <v>399.4285714285711</v>
      </c>
      <c r="M33" s="55">
        <v>157</v>
      </c>
      <c r="N33" s="55">
        <v>159.87</v>
      </c>
      <c r="O33" s="58">
        <f t="shared" si="13"/>
        <v>862.33052142857093</v>
      </c>
      <c r="P33" s="58">
        <f t="shared" si="14"/>
        <v>573.98897642857094</v>
      </c>
      <c r="Q33" s="58">
        <f t="shared" si="3"/>
        <v>86.233052142857105</v>
      </c>
      <c r="R33" s="58">
        <f t="shared" si="12"/>
        <v>42.238492857142838</v>
      </c>
      <c r="S33" s="58">
        <f t="shared" si="4"/>
        <v>0.87441193362350345</v>
      </c>
    </row>
    <row r="34" spans="1:19" ht="15.75" customHeight="1" x14ac:dyDescent="0.35">
      <c r="A34" s="52">
        <v>45901</v>
      </c>
      <c r="B34" s="70">
        <v>0.4113</v>
      </c>
      <c r="C34" s="70">
        <v>0.88619000000000003</v>
      </c>
      <c r="D34" s="70">
        <v>0.1104</v>
      </c>
      <c r="E34" s="53" t="s">
        <v>199</v>
      </c>
      <c r="F34" s="64">
        <f t="shared" si="15"/>
        <v>1.4078900000000001</v>
      </c>
      <c r="G34" s="65">
        <v>0.24</v>
      </c>
      <c r="H34" s="66">
        <v>5.4199999999999998E-2</v>
      </c>
      <c r="I34" s="66">
        <v>1.18E-2</v>
      </c>
      <c r="J34" s="56">
        <f t="shared" si="9"/>
        <v>2213.2857142857147</v>
      </c>
      <c r="K34" s="55">
        <v>573</v>
      </c>
      <c r="L34" s="73">
        <f t="array" ref="L34">_xlfn.XLOOKUP(A34,Registro_inversores!H:H,Registro_inversores!T:T)</f>
        <v>1640.2857142857147</v>
      </c>
      <c r="M34" s="55">
        <v>473</v>
      </c>
      <c r="N34" s="55">
        <v>269.02999999999997</v>
      </c>
      <c r="O34" s="58">
        <f t="shared" si="13"/>
        <v>3360.4095671428581</v>
      </c>
      <c r="P34" s="58">
        <f t="shared" si="14"/>
        <v>2522.0318675714288</v>
      </c>
      <c r="Q34" s="58">
        <f t="shared" si="3"/>
        <v>336.04095671428581</v>
      </c>
      <c r="R34" s="58">
        <f t="shared" si="12"/>
        <v>233.30674285714289</v>
      </c>
      <c r="S34" s="58">
        <f t="shared" si="4"/>
        <v>1.1394967451752402</v>
      </c>
    </row>
    <row r="35" spans="1:19" ht="15.75" customHeight="1" x14ac:dyDescent="0.35">
      <c r="A35" s="52">
        <v>45931</v>
      </c>
      <c r="B35" s="70">
        <v>0.41094999999999998</v>
      </c>
      <c r="C35" s="70">
        <v>0.88510999999999995</v>
      </c>
      <c r="D35" s="70">
        <v>8.6360000000000006E-2</v>
      </c>
      <c r="E35" s="53" t="s">
        <v>199</v>
      </c>
      <c r="F35" s="64">
        <f t="shared" si="15"/>
        <v>1.38242</v>
      </c>
      <c r="G35" s="65">
        <v>0.24</v>
      </c>
      <c r="H35" s="66">
        <v>4.9799999999999997E-2</v>
      </c>
      <c r="I35" s="66">
        <v>1.0800000000000001E-2</v>
      </c>
      <c r="J35" s="56">
        <f t="shared" si="9"/>
        <v>1810.4107142857138</v>
      </c>
      <c r="K35" s="55">
        <v>585</v>
      </c>
      <c r="L35" s="73">
        <f t="array" ref="L35">_xlfn.XLOOKUP(A35,Registro_inversores!H:H,Registro_inversores!T:T)</f>
        <v>1225.4107142857138</v>
      </c>
      <c r="M35" s="55">
        <v>485</v>
      </c>
      <c r="N35" s="55">
        <v>272.11</v>
      </c>
      <c r="O35" s="58">
        <f t="shared" si="13"/>
        <v>2659.0950489285706</v>
      </c>
      <c r="P35" s="58">
        <f t="shared" si="14"/>
        <v>1973.3644747499991</v>
      </c>
      <c r="Q35" s="58">
        <f t="shared" si="3"/>
        <v>265.90950489285706</v>
      </c>
      <c r="R35" s="58">
        <f t="shared" si="12"/>
        <v>147.71106928571425</v>
      </c>
      <c r="S35" s="58">
        <f t="shared" si="4"/>
        <v>1.0900092775514632</v>
      </c>
    </row>
    <row r="36" spans="1:19" ht="15.75" customHeight="1" x14ac:dyDescent="0.35">
      <c r="A36" s="52">
        <v>45962</v>
      </c>
      <c r="B36" s="70">
        <v>0.40670000000000001</v>
      </c>
      <c r="C36" s="70">
        <v>0.87619999999999998</v>
      </c>
      <c r="D36" s="70">
        <v>6.1830000000000003E-2</v>
      </c>
      <c r="E36" s="53" t="s">
        <v>199</v>
      </c>
      <c r="F36" s="64">
        <f t="shared" si="15"/>
        <v>1.34473</v>
      </c>
      <c r="G36" s="65">
        <v>0.24</v>
      </c>
      <c r="H36" s="66">
        <v>4.2799999999999998E-2</v>
      </c>
      <c r="I36" s="66">
        <v>9.4000000000000004E-3</v>
      </c>
      <c r="J36" s="56">
        <f t="shared" si="9"/>
        <v>2241.3365384615381</v>
      </c>
      <c r="K36" s="55">
        <v>530</v>
      </c>
      <c r="L36" s="73">
        <f t="array" ref="L36">_xlfn.XLOOKUP(A36,Registro_inversores!H:H,Registro_inversores!T:T)</f>
        <v>1711.3365384615381</v>
      </c>
      <c r="M36" s="55">
        <v>430</v>
      </c>
      <c r="N36" s="55">
        <v>258.33999999999997</v>
      </c>
      <c r="O36" s="58">
        <f t="shared" si="13"/>
        <v>3152.5743215384609</v>
      </c>
      <c r="P36" s="58">
        <f t="shared" si="14"/>
        <v>2446.578051211538</v>
      </c>
      <c r="Q36" s="58">
        <f t="shared" si="3"/>
        <v>315.25743215384614</v>
      </c>
      <c r="R36" s="58">
        <f t="shared" si="12"/>
        <v>132.39883817307691</v>
      </c>
      <c r="S36" s="58">
        <f t="shared" si="4"/>
        <v>1.0915710377393295</v>
      </c>
    </row>
    <row r="37" spans="1:19" ht="15.75" customHeight="1" x14ac:dyDescent="0.35">
      <c r="A37" s="52">
        <v>45992</v>
      </c>
      <c r="B37" s="70">
        <v>0.41663</v>
      </c>
      <c r="C37" s="70">
        <v>0.89744999999999997</v>
      </c>
      <c r="D37" s="70">
        <f>0.03584+0.01157</f>
        <v>4.7409999999999994E-2</v>
      </c>
      <c r="E37" s="53" t="s">
        <v>198</v>
      </c>
      <c r="F37" s="64">
        <f t="shared" si="15"/>
        <v>1.3614899999999999</v>
      </c>
      <c r="G37" s="65">
        <v>0.24</v>
      </c>
      <c r="H37" s="66">
        <v>6.2399999999999997E-2</v>
      </c>
      <c r="I37" s="66">
        <v>1.3599999999999999E-2</v>
      </c>
      <c r="J37" s="56">
        <f t="shared" si="9"/>
        <v>2757.8488063660479</v>
      </c>
      <c r="K37" s="55">
        <v>613</v>
      </c>
      <c r="L37" s="73">
        <f t="array" ref="L37">_xlfn.XLOOKUP(A37,Registro_inversores!H:H,Registro_inversores!T:T)</f>
        <v>2144.8488063660479</v>
      </c>
      <c r="M37" s="55">
        <v>513</v>
      </c>
      <c r="N37" s="55">
        <v>276.12</v>
      </c>
      <c r="O37" s="58">
        <f t="shared" si="13"/>
        <v>3885.5331832891243</v>
      </c>
      <c r="P37" s="58">
        <f t="shared" si="14"/>
        <v>3094.8512530503976</v>
      </c>
      <c r="Q37" s="58">
        <f t="shared" si="3"/>
        <v>388.55331832891244</v>
      </c>
      <c r="R37" s="58">
        <f t="shared" si="12"/>
        <v>126.00861190981432</v>
      </c>
      <c r="S37" s="58">
        <f t="shared" si="4"/>
        <v>1.1221975787455911</v>
      </c>
    </row>
    <row r="38" spans="1:19" ht="15.75" customHeight="1" x14ac:dyDescent="0.35">
      <c r="A38" s="52">
        <v>46023</v>
      </c>
      <c r="B38" s="70">
        <v>0.38528000000000001</v>
      </c>
      <c r="C38" s="70">
        <v>0.83</v>
      </c>
      <c r="D38" s="70">
        <v>1.372E-2</v>
      </c>
      <c r="E38" s="53" t="s">
        <v>198</v>
      </c>
      <c r="F38" s="64">
        <f t="shared" si="15"/>
        <v>1.2289999999999999</v>
      </c>
      <c r="G38" s="65">
        <v>0.18</v>
      </c>
      <c r="H38" s="66">
        <v>5.8999999999999997E-2</v>
      </c>
      <c r="I38" s="66">
        <v>1.2800000000000001E-2</v>
      </c>
      <c r="J38" s="56">
        <f t="shared" si="9"/>
        <v>580.31465517241395</v>
      </c>
      <c r="K38" s="55">
        <v>172</v>
      </c>
      <c r="L38" s="73">
        <f t="array" ref="L38">_xlfn.XLOOKUP(A38,Registro_inversores!H:H,Registro_inversores!T:T)</f>
        <v>408.31465517241395</v>
      </c>
      <c r="M38" s="55">
        <v>72</v>
      </c>
      <c r="N38" s="55">
        <v>151.49</v>
      </c>
      <c r="O38" s="58">
        <f t="shared" si="13"/>
        <v>721.16862827586215</v>
      </c>
      <c r="P38" s="58">
        <f t="shared" si="14"/>
        <v>490.97184837931042</v>
      </c>
      <c r="Q38" s="58">
        <f t="shared" si="3"/>
        <v>72.116862827586218</v>
      </c>
      <c r="R38" s="58">
        <f t="shared" si="12"/>
        <v>6.5899170689655193</v>
      </c>
      <c r="S38" s="58">
        <f t="shared" si="4"/>
        <v>0.84604420033721295</v>
      </c>
    </row>
    <row r="39" spans="1:19" ht="15.75" customHeight="1" x14ac:dyDescent="0.35">
      <c r="A39" s="52">
        <v>46054</v>
      </c>
      <c r="B39" s="70">
        <v>0.41139999999999999</v>
      </c>
      <c r="C39" s="70">
        <v>0.88670000000000004</v>
      </c>
      <c r="D39" s="70">
        <v>0</v>
      </c>
      <c r="E39" s="53" t="s">
        <v>197</v>
      </c>
      <c r="F39" s="64">
        <f t="shared" si="15"/>
        <v>1.2981</v>
      </c>
      <c r="G39" s="65">
        <v>0.24</v>
      </c>
      <c r="H39" s="66">
        <v>5.0999999999999997E-2</v>
      </c>
      <c r="I39" s="66">
        <v>1.0999999999999999E-2</v>
      </c>
      <c r="J39" s="56">
        <f t="shared" si="9"/>
        <v>1006.5</v>
      </c>
      <c r="K39" s="55">
        <v>315</v>
      </c>
      <c r="L39" s="73">
        <f t="array" ref="L39">_xlfn.XLOOKUP(A39,Registro_inversores!H:H,Registro_inversores!T:T)</f>
        <v>691.5</v>
      </c>
      <c r="M39" s="55">
        <v>215</v>
      </c>
      <c r="N39" s="55">
        <v>198.48</v>
      </c>
      <c r="O39" s="58">
        <f t="shared" si="13"/>
        <v>1306.53765</v>
      </c>
      <c r="P39" s="58">
        <f t="shared" si="14"/>
        <v>977.40388499999995</v>
      </c>
      <c r="Q39" s="58">
        <f t="shared" si="3"/>
        <v>130.65376499999999</v>
      </c>
      <c r="R39" s="58">
        <f t="shared" si="12"/>
        <v>0</v>
      </c>
      <c r="S39" s="58">
        <f t="shared" si="4"/>
        <v>0.97109178837555876</v>
      </c>
    </row>
    <row r="40" spans="1:19" ht="15.75" customHeight="1" x14ac:dyDescent="0.35">
      <c r="A40" s="52">
        <v>46082</v>
      </c>
      <c r="B40" s="70">
        <v>0.40078999999999998</v>
      </c>
      <c r="C40" s="70">
        <v>0.86524000000000001</v>
      </c>
      <c r="D40" s="70">
        <v>0</v>
      </c>
      <c r="E40" s="53" t="s">
        <v>197</v>
      </c>
      <c r="F40" s="64">
        <f t="shared" si="15"/>
        <v>1.26603</v>
      </c>
      <c r="G40" s="65">
        <v>0.24</v>
      </c>
      <c r="H40" s="66">
        <v>2.3300000000000001E-2</v>
      </c>
      <c r="I40" s="66">
        <v>5.1000000000000004E-3</v>
      </c>
      <c r="J40" s="56">
        <f t="shared" si="9"/>
        <v>2178.2178571428567</v>
      </c>
      <c r="K40" s="55">
        <v>667</v>
      </c>
      <c r="L40" s="73">
        <f t="array" ref="L40">_xlfn.XLOOKUP(A40,Registro_inversores!H:H,Registro_inversores!T:T)</f>
        <v>1511.2178571428567</v>
      </c>
      <c r="M40" s="55">
        <v>567</v>
      </c>
      <c r="N40" s="55">
        <v>271.76</v>
      </c>
      <c r="O40" s="58">
        <f t="shared" si="13"/>
        <v>2757.6891536785706</v>
      </c>
      <c r="P40" s="58">
        <f t="shared" si="14"/>
        <v>2210.1602383107133</v>
      </c>
      <c r="Q40" s="58">
        <f t="shared" si="3"/>
        <v>275.76891536785706</v>
      </c>
      <c r="R40" s="58">
        <f t="shared" si="12"/>
        <v>0</v>
      </c>
      <c r="S40" s="58">
        <f t="shared" si="4"/>
        <v>1.0146644565708203</v>
      </c>
    </row>
    <row r="41" spans="1:19" ht="15.75" customHeight="1" x14ac:dyDescent="0.35">
      <c r="A41" s="52">
        <v>46113</v>
      </c>
      <c r="B41" s="70">
        <v>0.46529999999999999</v>
      </c>
      <c r="C41" s="70">
        <v>1.03423</v>
      </c>
      <c r="D41" s="70">
        <v>0</v>
      </c>
      <c r="E41" s="53" t="s">
        <v>197</v>
      </c>
      <c r="F41" s="64">
        <f t="shared" si="15"/>
        <v>1.49953</v>
      </c>
      <c r="G41" s="65">
        <v>0.24</v>
      </c>
      <c r="H41" s="66">
        <v>5.6800000000000003E-2</v>
      </c>
      <c r="I41" s="66">
        <v>1.23E-2</v>
      </c>
      <c r="J41" s="56">
        <f t="shared" si="9"/>
        <v>3057.442857142858</v>
      </c>
      <c r="K41" s="55">
        <v>720</v>
      </c>
      <c r="L41" s="73">
        <f t="array" ref="L41">_xlfn.XLOOKUP(A41,Registro_inversores!H:H,Registro_inversores!T:T)</f>
        <v>2337.442857142858</v>
      </c>
      <c r="M41" s="55">
        <v>620</v>
      </c>
      <c r="N41" s="55">
        <v>331.31</v>
      </c>
      <c r="O41" s="58">
        <f t="shared" si="13"/>
        <v>4584.7272875714298</v>
      </c>
      <c r="P41" s="58">
        <f t="shared" si="14"/>
        <v>3794.9445588142862</v>
      </c>
      <c r="Q41" s="58">
        <f t="shared" si="3"/>
        <v>458.47272875714299</v>
      </c>
      <c r="R41" s="58">
        <f t="shared" si="12"/>
        <v>0</v>
      </c>
      <c r="S41" s="58">
        <f t="shared" si="4"/>
        <v>1.2412152037276714</v>
      </c>
    </row>
    <row r="42" spans="1:19" ht="15.75" customHeight="1" x14ac:dyDescent="0.35">
      <c r="A42" s="52">
        <v>46143</v>
      </c>
      <c r="B42" s="70">
        <v>0.46694999999999998</v>
      </c>
      <c r="C42" s="70">
        <v>1.0374300000000001</v>
      </c>
      <c r="D42" s="70">
        <v>0</v>
      </c>
      <c r="E42" s="53" t="s">
        <v>197</v>
      </c>
      <c r="F42" s="64">
        <f t="shared" si="15"/>
        <v>1.5043800000000001</v>
      </c>
      <c r="G42" s="65">
        <v>0.24</v>
      </c>
      <c r="H42" s="66">
        <v>5.9499999999999997E-2</v>
      </c>
      <c r="I42" s="66">
        <v>1.2500000000000001E-2</v>
      </c>
      <c r="J42" s="56">
        <f t="shared" si="9"/>
        <v>2271.7142857142853</v>
      </c>
      <c r="K42" s="55">
        <v>668</v>
      </c>
      <c r="L42" s="73">
        <f t="array" ref="L42">_xlfn.XLOOKUP(A42,Registro_inversores!H:H,Registro_inversores!T:T)</f>
        <v>1603.7142857142853</v>
      </c>
      <c r="M42" s="55">
        <v>568</v>
      </c>
      <c r="N42" s="55">
        <v>321.44</v>
      </c>
      <c r="O42" s="58">
        <f t="shared" si="13"/>
        <v>3417.5215371428567</v>
      </c>
      <c r="P42" s="58">
        <f t="shared" si="14"/>
        <v>2754.329383428571</v>
      </c>
      <c r="Q42" s="58">
        <f t="shared" si="3"/>
        <v>341.75215371428567</v>
      </c>
      <c r="R42" s="58">
        <f t="shared" si="12"/>
        <v>0</v>
      </c>
      <c r="S42" s="58">
        <f t="shared" si="4"/>
        <v>1.2124453329140989</v>
      </c>
    </row>
    <row r="43" spans="1:19" ht="15.75" customHeight="1" x14ac:dyDescent="0.35">
      <c r="A43" s="52">
        <v>46174</v>
      </c>
      <c r="B43" s="70">
        <v>0.46333000000000002</v>
      </c>
      <c r="C43" s="70">
        <v>1.02935</v>
      </c>
      <c r="D43" s="70">
        <v>2.648E-2</v>
      </c>
      <c r="E43" s="53" t="s">
        <v>198</v>
      </c>
      <c r="F43" s="64">
        <f t="shared" si="15"/>
        <v>1.5191600000000001</v>
      </c>
      <c r="G43" s="65">
        <v>0.24</v>
      </c>
      <c r="H43" s="66">
        <v>5.33E-2</v>
      </c>
      <c r="I43" s="66">
        <v>1.3100000000000001E-2</v>
      </c>
      <c r="J43" s="56">
        <f t="shared" si="9"/>
        <v>1164.2551020408164</v>
      </c>
      <c r="K43" s="55">
        <v>650</v>
      </c>
      <c r="L43" s="73">
        <f t="array" ref="L43">_xlfn.XLOOKUP(A43,Registro_inversores!H:H,Registro_inversores!T:T)</f>
        <v>514.25510204081638</v>
      </c>
      <c r="M43" s="55">
        <v>550</v>
      </c>
      <c r="N43" s="55">
        <v>316.10000000000002</v>
      </c>
      <c r="O43" s="58">
        <f t="shared" si="13"/>
        <v>1799.5192559183677</v>
      </c>
      <c r="P43" s="58">
        <f t="shared" si="14"/>
        <v>1275.28585522449</v>
      </c>
      <c r="Q43" s="58">
        <f t="shared" si="3"/>
        <v>179.95192559183678</v>
      </c>
      <c r="R43" s="58">
        <f t="shared" si="12"/>
        <v>28.181475102040817</v>
      </c>
      <c r="S43" s="58">
        <f t="shared" si="4"/>
        <v>1.0953663445314077</v>
      </c>
    </row>
    <row r="44" spans="1:19" ht="15.75" customHeight="1" x14ac:dyDescent="0.35">
      <c r="A44" s="52">
        <v>46204</v>
      </c>
      <c r="B44" s="70">
        <v>0.47255999999999998</v>
      </c>
      <c r="C44" s="70">
        <v>1.0497799999999999</v>
      </c>
      <c r="D44" s="70">
        <v>2.7E-2</v>
      </c>
      <c r="E44" s="53" t="s">
        <v>198</v>
      </c>
      <c r="F44" s="64">
        <f t="shared" si="15"/>
        <v>1.5493399999999997</v>
      </c>
      <c r="G44" s="65">
        <v>0.24</v>
      </c>
      <c r="H44" s="66">
        <v>6.8099999999999994E-2</v>
      </c>
      <c r="I44" s="66">
        <v>1.4800000000000001E-2</v>
      </c>
      <c r="J44" s="56">
        <f t="shared" si="9"/>
        <v>1513.2448979591836</v>
      </c>
      <c r="K44" s="55">
        <v>467</v>
      </c>
      <c r="L44" s="73">
        <f t="array" ref="L44">_xlfn.XLOOKUP(A44,Registro_inversores!H:H,Registro_inversores!T:T)</f>
        <v>1046.2448979591836</v>
      </c>
      <c r="M44" s="55">
        <v>367</v>
      </c>
      <c r="N44" s="55">
        <v>274.52</v>
      </c>
      <c r="O44" s="58">
        <f t="shared" si="13"/>
        <v>2385.3884624489788</v>
      </c>
      <c r="P44" s="58">
        <f t="shared" si="14"/>
        <v>1834.1720039591828</v>
      </c>
      <c r="Q44" s="58">
        <f t="shared" si="3"/>
        <v>238.53884624489788</v>
      </c>
      <c r="R44" s="58">
        <f t="shared" si="12"/>
        <v>38.157612244897955</v>
      </c>
      <c r="S44" s="58">
        <f t="shared" si="4"/>
        <v>1.2120787629502752</v>
      </c>
    </row>
    <row r="45" spans="1:19" ht="15.75" customHeight="1" x14ac:dyDescent="0.35">
      <c r="A45" s="52">
        <v>46235</v>
      </c>
      <c r="B45" s="70">
        <v>0.44807000000000002</v>
      </c>
      <c r="C45" s="70">
        <v>0.99526000000000003</v>
      </c>
      <c r="D45" s="70">
        <v>2.5559999999999999E-2</v>
      </c>
      <c r="E45" s="53" t="s">
        <v>198</v>
      </c>
      <c r="F45" s="64">
        <f t="shared" ref="F45" si="16">SUM(B45:D45)</f>
        <v>1.46889</v>
      </c>
      <c r="G45" s="65">
        <v>0.24</v>
      </c>
      <c r="H45" s="66">
        <v>2.6700000000000002E-2</v>
      </c>
      <c r="I45" s="66">
        <v>0.6</v>
      </c>
      <c r="J45" s="56">
        <f t="shared" ref="J45" si="17">K45+L45</f>
        <v>905.875</v>
      </c>
      <c r="K45" s="55">
        <v>385</v>
      </c>
      <c r="L45" s="73">
        <f t="array" ref="L45">_xlfn.XLOOKUP(A45,Registro_inversores!H:H,Registro_inversores!T:T)</f>
        <v>520.875</v>
      </c>
      <c r="M45" s="55">
        <v>285</v>
      </c>
      <c r="N45" s="55">
        <v>233.25</v>
      </c>
      <c r="O45" s="58">
        <f t="shared" ref="O45" si="18">MAX((F45+D45)*J45,0)</f>
        <v>1353.78489375</v>
      </c>
      <c r="P45" s="58">
        <f t="shared" ref="P45" si="19">MAX(O45-N45-Q45-R45,0)</f>
        <v>964.55823937499997</v>
      </c>
      <c r="Q45" s="58">
        <f t="shared" ref="Q45" si="20">10%*O45</f>
        <v>135.37848937500002</v>
      </c>
      <c r="R45" s="58">
        <f t="shared" ref="R45" si="21">(M45+L45)*D45</f>
        <v>20.598164999999998</v>
      </c>
      <c r="S45" s="58">
        <f t="shared" ref="S45" si="22">P45/J45</f>
        <v>1.0647807251276389</v>
      </c>
    </row>
    <row r="46" spans="1:19" ht="15.75" customHeight="1" x14ac:dyDescent="0.35">
      <c r="P46" s="7"/>
    </row>
    <row r="47" spans="1:19" ht="15.75" customHeight="1" x14ac:dyDescent="0.35"/>
    <row r="48" spans="1:1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511811024" right="0.511811024" top="0.78740157499999996" bottom="0.78740157499999996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0"/>
  <dimension ref="A1:O1000"/>
  <sheetViews>
    <sheetView topLeftCell="A32" workbookViewId="0">
      <selection activeCell="L45" sqref="L45"/>
    </sheetView>
  </sheetViews>
  <sheetFormatPr defaultColWidth="14.453125" defaultRowHeight="15" customHeight="1" x14ac:dyDescent="0.35"/>
  <cols>
    <col min="1" max="1" width="17.26953125" customWidth="1"/>
    <col min="2" max="5" width="15.26953125" customWidth="1"/>
    <col min="6" max="6" width="15" customWidth="1"/>
    <col min="7" max="7" width="22.1796875" customWidth="1"/>
    <col min="8" max="10" width="23.81640625" customWidth="1"/>
    <col min="11" max="11" width="9.453125" customWidth="1"/>
    <col min="12" max="12" width="13.453125" customWidth="1"/>
    <col min="13" max="13" width="17.81640625" customWidth="1"/>
    <col min="14" max="14" width="15" customWidth="1"/>
    <col min="15" max="15" width="26.26953125" customWidth="1"/>
  </cols>
  <sheetData>
    <row r="1" spans="1:15" ht="14.5" x14ac:dyDescent="0.35">
      <c r="A1" s="50" t="s">
        <v>75</v>
      </c>
      <c r="B1" s="50" t="s">
        <v>179</v>
      </c>
      <c r="C1" s="50" t="s">
        <v>173</v>
      </c>
      <c r="D1" s="50" t="s">
        <v>174</v>
      </c>
      <c r="E1" s="50" t="s">
        <v>175</v>
      </c>
      <c r="F1" s="50" t="s">
        <v>191</v>
      </c>
      <c r="G1" s="50" t="s">
        <v>180</v>
      </c>
      <c r="H1" s="50" t="s">
        <v>181</v>
      </c>
      <c r="I1" s="50" t="s">
        <v>192</v>
      </c>
      <c r="J1" s="50" t="s">
        <v>193</v>
      </c>
      <c r="K1" s="50" t="s">
        <v>184</v>
      </c>
      <c r="L1" s="50" t="s">
        <v>194</v>
      </c>
      <c r="M1" s="50" t="s">
        <v>195</v>
      </c>
      <c r="N1" s="50" t="s">
        <v>185</v>
      </c>
      <c r="O1" s="50" t="s">
        <v>196</v>
      </c>
    </row>
    <row r="2" spans="1:15" ht="14.5" x14ac:dyDescent="0.35">
      <c r="A2" s="62">
        <v>44927</v>
      </c>
      <c r="B2" s="54"/>
      <c r="C2" s="63"/>
      <c r="D2" s="63"/>
      <c r="E2" s="63"/>
      <c r="F2" s="63"/>
      <c r="G2" s="63">
        <v>67</v>
      </c>
      <c r="H2" s="1"/>
      <c r="I2" s="1">
        <v>67</v>
      </c>
      <c r="J2" s="1"/>
      <c r="K2" s="54"/>
      <c r="L2" s="54"/>
      <c r="M2" s="54"/>
      <c r="N2" s="54"/>
      <c r="O2" s="54"/>
    </row>
    <row r="3" spans="1:15" ht="14.5" x14ac:dyDescent="0.35">
      <c r="A3" s="62">
        <v>44958</v>
      </c>
      <c r="B3" s="54"/>
      <c r="C3" s="63"/>
      <c r="D3" s="63"/>
      <c r="E3" s="63"/>
      <c r="F3" s="63"/>
      <c r="G3" s="63">
        <v>62</v>
      </c>
      <c r="H3" s="1"/>
      <c r="I3" s="1">
        <v>62</v>
      </c>
      <c r="J3" s="1"/>
      <c r="K3" s="54"/>
      <c r="L3" s="54"/>
      <c r="M3" s="54"/>
      <c r="N3" s="58"/>
      <c r="O3" s="54"/>
    </row>
    <row r="4" spans="1:15" ht="14.5" x14ac:dyDescent="0.35">
      <c r="A4" s="62">
        <v>44986</v>
      </c>
      <c r="B4" s="54"/>
      <c r="C4" s="63"/>
      <c r="D4" s="63"/>
      <c r="E4" s="63"/>
      <c r="F4" s="63"/>
      <c r="G4" s="63">
        <v>78</v>
      </c>
      <c r="H4" s="1"/>
      <c r="I4" s="1">
        <v>78</v>
      </c>
      <c r="J4" s="1"/>
      <c r="K4" s="54"/>
      <c r="L4" s="54"/>
      <c r="M4" s="54"/>
      <c r="N4" s="54"/>
      <c r="O4" s="54"/>
    </row>
    <row r="5" spans="1:15" ht="14.5" x14ac:dyDescent="0.35">
      <c r="A5" s="62">
        <v>45017</v>
      </c>
      <c r="B5" s="56">
        <f t="shared" ref="B5:B11" si="0">G5+H5</f>
        <v>386</v>
      </c>
      <c r="C5" s="67"/>
      <c r="D5" s="67"/>
      <c r="E5" s="67"/>
      <c r="F5" s="68">
        <v>1.1360699999999999</v>
      </c>
      <c r="G5" s="69">
        <v>122</v>
      </c>
      <c r="H5" s="47">
        <v>264</v>
      </c>
      <c r="I5" s="47">
        <v>22</v>
      </c>
      <c r="J5" s="47"/>
      <c r="K5" s="58">
        <f t="shared" ref="K5:K11" si="1">B5*F5</f>
        <v>438.52301999999997</v>
      </c>
      <c r="L5" s="58"/>
      <c r="M5" s="58"/>
      <c r="N5" s="58">
        <f t="shared" ref="N5:N10" si="2">90%*K5</f>
        <v>394.67071799999997</v>
      </c>
      <c r="O5" s="71">
        <f t="shared" ref="O5:O11" si="3">N5/H5</f>
        <v>1.4949648409090908</v>
      </c>
    </row>
    <row r="6" spans="1:15" ht="14.5" x14ac:dyDescent="0.35">
      <c r="A6" s="62">
        <v>45047</v>
      </c>
      <c r="B6" s="56">
        <f t="shared" si="0"/>
        <v>328.12</v>
      </c>
      <c r="C6" s="67"/>
      <c r="D6" s="67"/>
      <c r="E6" s="67"/>
      <c r="F6" s="68">
        <v>1.1360699999999999</v>
      </c>
      <c r="G6" s="69">
        <v>108</v>
      </c>
      <c r="H6" s="47">
        <v>220.12</v>
      </c>
      <c r="I6" s="47">
        <v>8</v>
      </c>
      <c r="J6" s="47"/>
      <c r="K6" s="58">
        <f t="shared" si="1"/>
        <v>372.76728839999998</v>
      </c>
      <c r="L6" s="58"/>
      <c r="M6" s="58"/>
      <c r="N6" s="58">
        <f t="shared" si="2"/>
        <v>335.49055956000001</v>
      </c>
      <c r="O6" s="71">
        <f t="shared" si="3"/>
        <v>1.5241257475922225</v>
      </c>
    </row>
    <row r="7" spans="1:15" ht="14.5" x14ac:dyDescent="0.35">
      <c r="A7" s="62">
        <v>45078</v>
      </c>
      <c r="B7" s="56">
        <f t="shared" si="0"/>
        <v>100</v>
      </c>
      <c r="C7" s="67"/>
      <c r="D7" s="67"/>
      <c r="E7" s="67"/>
      <c r="F7" s="63">
        <v>1.1537000000000002</v>
      </c>
      <c r="G7" s="63">
        <v>100</v>
      </c>
      <c r="H7" s="1">
        <v>0</v>
      </c>
      <c r="I7" s="1">
        <v>0</v>
      </c>
      <c r="J7" s="1"/>
      <c r="K7" s="58">
        <f t="shared" si="1"/>
        <v>115.37000000000002</v>
      </c>
      <c r="L7" s="58"/>
      <c r="M7" s="58"/>
      <c r="N7" s="58">
        <f t="shared" si="2"/>
        <v>103.83300000000001</v>
      </c>
      <c r="O7" s="71" t="e">
        <f t="shared" si="3"/>
        <v>#DIV/0!</v>
      </c>
    </row>
    <row r="8" spans="1:15" ht="14.5" x14ac:dyDescent="0.35">
      <c r="A8" s="62">
        <v>45108</v>
      </c>
      <c r="B8" s="56">
        <f t="shared" si="0"/>
        <v>100</v>
      </c>
      <c r="C8" s="67"/>
      <c r="D8" s="67"/>
      <c r="E8" s="67"/>
      <c r="F8" s="63">
        <v>1.1439999999999999</v>
      </c>
      <c r="G8" s="63">
        <v>100</v>
      </c>
      <c r="H8" s="1">
        <v>0</v>
      </c>
      <c r="I8" s="1">
        <v>0</v>
      </c>
      <c r="J8" s="1"/>
      <c r="K8" s="58">
        <f t="shared" si="1"/>
        <v>114.39999999999999</v>
      </c>
      <c r="L8" s="58"/>
      <c r="M8" s="58"/>
      <c r="N8" s="58">
        <f t="shared" si="2"/>
        <v>102.96</v>
      </c>
      <c r="O8" s="71" t="e">
        <f t="shared" si="3"/>
        <v>#DIV/0!</v>
      </c>
    </row>
    <row r="9" spans="1:15" ht="14.5" x14ac:dyDescent="0.35">
      <c r="A9" s="62">
        <v>45139</v>
      </c>
      <c r="B9" s="56">
        <f t="shared" si="0"/>
        <v>100</v>
      </c>
      <c r="C9" s="67"/>
      <c r="D9" s="67"/>
      <c r="E9" s="67"/>
      <c r="F9" s="63">
        <v>1.1826300000000001</v>
      </c>
      <c r="G9" s="63">
        <v>100</v>
      </c>
      <c r="H9" s="1">
        <v>0</v>
      </c>
      <c r="I9" s="1">
        <v>0</v>
      </c>
      <c r="J9" s="1"/>
      <c r="K9" s="58">
        <f t="shared" si="1"/>
        <v>118.26300000000001</v>
      </c>
      <c r="L9" s="58"/>
      <c r="M9" s="58"/>
      <c r="N9" s="58">
        <f t="shared" si="2"/>
        <v>106.4367</v>
      </c>
      <c r="O9" s="71" t="e">
        <f t="shared" si="3"/>
        <v>#DIV/0!</v>
      </c>
    </row>
    <row r="10" spans="1:15" ht="14.5" x14ac:dyDescent="0.35">
      <c r="A10" s="62">
        <v>45170</v>
      </c>
      <c r="B10" s="56">
        <f t="shared" si="0"/>
        <v>100</v>
      </c>
      <c r="C10" s="67"/>
      <c r="D10" s="67"/>
      <c r="E10" s="67"/>
      <c r="F10" s="63">
        <v>1.161</v>
      </c>
      <c r="G10" s="63">
        <v>100</v>
      </c>
      <c r="H10" s="1"/>
      <c r="I10" s="1">
        <v>0</v>
      </c>
      <c r="J10" s="1"/>
      <c r="K10" s="58">
        <f t="shared" si="1"/>
        <v>116.10000000000001</v>
      </c>
      <c r="L10" s="58"/>
      <c r="M10" s="58"/>
      <c r="N10" s="58">
        <f t="shared" si="2"/>
        <v>104.49000000000001</v>
      </c>
      <c r="O10" s="71" t="e">
        <f t="shared" si="3"/>
        <v>#DIV/0!</v>
      </c>
    </row>
    <row r="11" spans="1:15" ht="14.5" x14ac:dyDescent="0.35">
      <c r="A11" s="62">
        <v>45200</v>
      </c>
      <c r="B11" s="56">
        <f t="shared" si="0"/>
        <v>213</v>
      </c>
      <c r="C11" s="67"/>
      <c r="D11" s="67"/>
      <c r="E11" s="67"/>
      <c r="F11" s="63">
        <v>1.1291100000000001</v>
      </c>
      <c r="G11" s="63">
        <v>123</v>
      </c>
      <c r="H11" s="1">
        <v>90</v>
      </c>
      <c r="I11" s="1">
        <v>23</v>
      </c>
      <c r="J11" s="1">
        <v>136.57</v>
      </c>
      <c r="K11" s="58">
        <f t="shared" si="1"/>
        <v>240.50043000000002</v>
      </c>
      <c r="L11" s="58"/>
      <c r="M11" s="58"/>
      <c r="N11" s="58">
        <f>90%*K11-J11</f>
        <v>79.880387000000042</v>
      </c>
      <c r="O11" s="71">
        <f t="shared" si="3"/>
        <v>0.88755985555555605</v>
      </c>
    </row>
    <row r="12" spans="1:15" ht="14.5" x14ac:dyDescent="0.35">
      <c r="A12" s="62">
        <v>45231</v>
      </c>
      <c r="B12" s="54"/>
      <c r="C12" s="63"/>
      <c r="D12" s="63"/>
      <c r="E12" s="63"/>
      <c r="F12" s="63"/>
      <c r="G12" s="63"/>
      <c r="H12" s="1"/>
      <c r="I12" s="1"/>
      <c r="J12" s="1"/>
      <c r="K12" s="54"/>
      <c r="L12" s="54"/>
      <c r="M12" s="54"/>
      <c r="N12" s="54">
        <v>0</v>
      </c>
      <c r="O12" s="54"/>
    </row>
    <row r="13" spans="1:15" ht="14.5" x14ac:dyDescent="0.35">
      <c r="A13" s="62">
        <v>45261</v>
      </c>
      <c r="B13" s="56">
        <f>G13+H13</f>
        <v>141</v>
      </c>
      <c r="C13" s="67"/>
      <c r="D13" s="67"/>
      <c r="E13" s="67"/>
      <c r="F13" s="63">
        <v>1.1692899999999999</v>
      </c>
      <c r="G13" s="63">
        <v>141</v>
      </c>
      <c r="H13" s="1"/>
      <c r="I13" s="1">
        <v>41</v>
      </c>
      <c r="J13" s="1">
        <v>142.47999999999999</v>
      </c>
      <c r="K13" s="58">
        <f>B13*F13</f>
        <v>164.86989</v>
      </c>
      <c r="L13" s="58"/>
      <c r="M13" s="58"/>
      <c r="N13" s="58">
        <f>90%*K13-J13</f>
        <v>5.9029010000000142</v>
      </c>
      <c r="O13" s="71" t="e">
        <f>N13/H13</f>
        <v>#DIV/0!</v>
      </c>
    </row>
    <row r="14" spans="1:15" ht="14.5" x14ac:dyDescent="0.35">
      <c r="A14" s="62">
        <v>45292</v>
      </c>
      <c r="B14" s="54"/>
      <c r="C14" s="63"/>
      <c r="D14" s="63"/>
      <c r="E14" s="63"/>
      <c r="F14" s="63"/>
      <c r="G14" s="63"/>
      <c r="H14" s="1"/>
      <c r="I14" s="1"/>
      <c r="J14" s="1"/>
      <c r="K14" s="54"/>
      <c r="L14" s="54"/>
      <c r="M14" s="54"/>
      <c r="N14" s="54"/>
      <c r="O14" s="54"/>
    </row>
    <row r="15" spans="1:15" ht="14.5" x14ac:dyDescent="0.35">
      <c r="A15" s="62">
        <v>45323</v>
      </c>
      <c r="B15" s="54"/>
      <c r="C15" s="63"/>
      <c r="D15" s="63"/>
      <c r="E15" s="63"/>
      <c r="F15" s="63"/>
      <c r="G15" s="63"/>
      <c r="H15" s="1"/>
      <c r="I15" s="1"/>
      <c r="J15" s="1"/>
      <c r="K15" s="54"/>
      <c r="L15" s="54"/>
      <c r="M15" s="54"/>
      <c r="N15" s="54"/>
      <c r="O15" s="54"/>
    </row>
    <row r="16" spans="1:15" ht="14.5" x14ac:dyDescent="0.35">
      <c r="A16" s="62">
        <v>45352</v>
      </c>
      <c r="B16" s="54"/>
      <c r="C16" s="63"/>
      <c r="D16" s="63"/>
      <c r="E16" s="63"/>
      <c r="F16" s="63"/>
      <c r="G16" s="63"/>
      <c r="H16" s="1"/>
      <c r="I16" s="1"/>
      <c r="J16" s="1"/>
      <c r="K16" s="54"/>
      <c r="L16" s="54"/>
      <c r="M16" s="54"/>
      <c r="N16" s="54"/>
      <c r="O16" s="54"/>
    </row>
    <row r="17" spans="1:15" ht="14.5" x14ac:dyDescent="0.35">
      <c r="A17" s="62">
        <v>45383</v>
      </c>
      <c r="B17" s="54"/>
      <c r="C17" s="63"/>
      <c r="D17" s="63"/>
      <c r="E17" s="63"/>
      <c r="F17" s="63"/>
      <c r="G17" s="63"/>
      <c r="H17" s="1"/>
      <c r="I17" s="1"/>
      <c r="J17" s="1"/>
      <c r="K17" s="54"/>
      <c r="L17" s="54"/>
      <c r="M17" s="54"/>
      <c r="N17" s="54"/>
      <c r="O17" s="54"/>
    </row>
    <row r="18" spans="1:15" ht="14.5" x14ac:dyDescent="0.35">
      <c r="A18" s="62">
        <v>45413</v>
      </c>
      <c r="B18" s="54"/>
      <c r="C18" s="63"/>
      <c r="D18" s="63"/>
      <c r="E18" s="63"/>
      <c r="F18" s="63"/>
      <c r="G18" s="63"/>
      <c r="H18" s="1"/>
      <c r="I18" s="1"/>
      <c r="J18" s="1"/>
      <c r="K18" s="54"/>
      <c r="L18" s="54"/>
      <c r="M18" s="54"/>
      <c r="N18" s="54"/>
      <c r="O18" s="54"/>
    </row>
    <row r="19" spans="1:15" ht="14.5" x14ac:dyDescent="0.35">
      <c r="A19" s="62">
        <v>45444</v>
      </c>
      <c r="B19" s="54"/>
      <c r="C19" s="63"/>
      <c r="D19" s="63"/>
      <c r="E19" s="63"/>
      <c r="F19" s="63"/>
      <c r="G19" s="63"/>
      <c r="H19" s="1"/>
      <c r="I19" s="1"/>
      <c r="J19" s="1"/>
      <c r="K19" s="54"/>
      <c r="L19" s="54"/>
      <c r="M19" s="54"/>
      <c r="N19" s="54"/>
      <c r="O19" s="54"/>
    </row>
    <row r="20" spans="1:15" ht="14.5" x14ac:dyDescent="0.35">
      <c r="A20" s="62">
        <v>45474</v>
      </c>
      <c r="B20" s="54"/>
      <c r="C20" s="63"/>
      <c r="D20" s="63"/>
      <c r="E20" s="63"/>
      <c r="F20" s="63"/>
      <c r="G20" s="63"/>
      <c r="H20" s="1"/>
      <c r="I20" s="1"/>
      <c r="J20" s="1"/>
      <c r="K20" s="54"/>
      <c r="L20" s="54"/>
      <c r="M20" s="54"/>
      <c r="N20" s="54"/>
      <c r="O20" s="54"/>
    </row>
    <row r="21" spans="1:15" ht="15.75" customHeight="1" x14ac:dyDescent="0.35">
      <c r="A21" s="62">
        <v>45505</v>
      </c>
      <c r="B21" s="54"/>
      <c r="C21" s="63"/>
      <c r="D21" s="63"/>
      <c r="E21" s="63"/>
      <c r="F21" s="63"/>
      <c r="G21" s="63"/>
      <c r="H21" s="1"/>
      <c r="I21" s="1"/>
      <c r="J21" s="1"/>
      <c r="K21" s="54"/>
      <c r="L21" s="54"/>
      <c r="M21" s="54"/>
      <c r="N21" s="54"/>
      <c r="O21" s="54"/>
    </row>
    <row r="22" spans="1:15" ht="15.75" customHeight="1" x14ac:dyDescent="0.35">
      <c r="A22" s="62">
        <v>45536</v>
      </c>
      <c r="B22" s="54"/>
      <c r="C22" s="63"/>
      <c r="D22" s="63"/>
      <c r="E22" s="63"/>
      <c r="F22" s="63"/>
      <c r="G22" s="63"/>
      <c r="H22" s="1"/>
      <c r="I22" s="1"/>
      <c r="J22" s="1"/>
      <c r="K22" s="54"/>
      <c r="L22" s="54"/>
      <c r="M22" s="54"/>
      <c r="N22" s="54"/>
      <c r="O22" s="54"/>
    </row>
    <row r="23" spans="1:15" ht="15.75" customHeight="1" x14ac:dyDescent="0.35">
      <c r="A23" s="62">
        <v>45566</v>
      </c>
      <c r="B23" s="56">
        <v>146</v>
      </c>
      <c r="C23" s="72">
        <v>0.37884000000000001</v>
      </c>
      <c r="D23" s="72">
        <v>0.80103000000000002</v>
      </c>
      <c r="E23" s="72"/>
      <c r="F23" s="64">
        <f>D23+C23</f>
        <v>1.17987</v>
      </c>
      <c r="G23" s="63">
        <v>146</v>
      </c>
      <c r="H23" s="1"/>
      <c r="I23" s="1">
        <v>46</v>
      </c>
      <c r="J23" s="1">
        <v>146.28</v>
      </c>
      <c r="K23" s="58">
        <f>B23*F23</f>
        <v>172.26102</v>
      </c>
      <c r="L23" s="58"/>
      <c r="M23" s="58"/>
      <c r="N23" s="58">
        <f>90%*K23-J23</f>
        <v>8.7549180000000035</v>
      </c>
      <c r="O23" s="71">
        <f>N23/G23</f>
        <v>5.9965191780821943E-2</v>
      </c>
    </row>
    <row r="24" spans="1:15" ht="15.75" customHeight="1" x14ac:dyDescent="0.35">
      <c r="A24" s="62">
        <v>45597</v>
      </c>
      <c r="B24" s="56">
        <f t="shared" ref="B24:B44" si="4">G24+H24</f>
        <v>1287</v>
      </c>
      <c r="C24" s="72">
        <v>0.37362000000000001</v>
      </c>
      <c r="D24" s="72">
        <v>0.79</v>
      </c>
      <c r="E24" s="72">
        <f>0.01108+0.0534</f>
        <v>6.448000000000001E-2</v>
      </c>
      <c r="F24" s="64">
        <f t="shared" ref="F24:F44" si="5">D24+C24+E24</f>
        <v>1.2281000000000002</v>
      </c>
      <c r="G24" s="63">
        <v>194</v>
      </c>
      <c r="H24" s="1">
        <v>1093</v>
      </c>
      <c r="I24" s="1">
        <v>94</v>
      </c>
      <c r="J24" s="1">
        <v>158.88999999999999</v>
      </c>
      <c r="K24" s="58">
        <f t="shared" ref="K24:K25" si="6">F24*B24</f>
        <v>1580.5647000000004</v>
      </c>
      <c r="L24" s="58">
        <f t="shared" ref="L24:L44" si="7">10%*K24</f>
        <v>158.05647000000005</v>
      </c>
      <c r="M24" s="58">
        <f t="shared" ref="M24:M44" si="8">E24*(H24+I24)</f>
        <v>76.537760000000006</v>
      </c>
      <c r="N24" s="58">
        <f t="shared" ref="N24:N25" si="9">K24-J24-L24-M24</f>
        <v>1187.0804700000006</v>
      </c>
      <c r="O24" s="71">
        <f t="shared" ref="O24:O44" si="10">N24/(SUM(H24:I24))</f>
        <v>1.0000677927548447</v>
      </c>
    </row>
    <row r="25" spans="1:15" ht="15.75" customHeight="1" x14ac:dyDescent="0.35">
      <c r="A25" s="62">
        <v>45627</v>
      </c>
      <c r="B25" s="56">
        <f t="shared" si="4"/>
        <v>532</v>
      </c>
      <c r="C25" s="72">
        <v>0.37262000000000001</v>
      </c>
      <c r="D25" s="72">
        <v>0.78793999999999997</v>
      </c>
      <c r="E25" s="72">
        <v>1.268E-2</v>
      </c>
      <c r="F25" s="64">
        <f t="shared" si="5"/>
        <v>1.1732400000000001</v>
      </c>
      <c r="G25" s="63">
        <v>141</v>
      </c>
      <c r="H25" s="73">
        <f>Registro_inversores!E6-Registro_inversores!E5-'Créditos CP'!D26</f>
        <v>391</v>
      </c>
      <c r="I25" s="1">
        <v>41</v>
      </c>
      <c r="J25" s="1">
        <v>141.94</v>
      </c>
      <c r="K25" s="58">
        <f t="shared" si="6"/>
        <v>624.16368</v>
      </c>
      <c r="L25" s="58">
        <f t="shared" si="7"/>
        <v>62.416368000000006</v>
      </c>
      <c r="M25" s="58">
        <f t="shared" si="8"/>
        <v>5.47776</v>
      </c>
      <c r="N25" s="58">
        <f t="shared" si="9"/>
        <v>414.32955200000004</v>
      </c>
      <c r="O25" s="71">
        <f t="shared" si="10"/>
        <v>0.95909618518518525</v>
      </c>
    </row>
    <row r="26" spans="1:15" ht="15.75" customHeight="1" x14ac:dyDescent="0.35">
      <c r="A26" s="62">
        <v>45658</v>
      </c>
      <c r="B26" s="56">
        <f t="shared" si="4"/>
        <v>-321</v>
      </c>
      <c r="C26" s="72">
        <v>0.38229999999999997</v>
      </c>
      <c r="D26" s="72">
        <v>0.80810000000000004</v>
      </c>
      <c r="E26" s="63">
        <v>0</v>
      </c>
      <c r="F26" s="64">
        <f t="shared" si="5"/>
        <v>1.1903999999999999</v>
      </c>
      <c r="G26" s="63">
        <v>100</v>
      </c>
      <c r="H26" s="73">
        <f>Registro_inversores!E7-Registro_inversores!E6-'Créditos CP'!D27</f>
        <v>-421</v>
      </c>
      <c r="I26" s="1">
        <v>0</v>
      </c>
      <c r="J26" s="1">
        <v>119.04</v>
      </c>
      <c r="K26" s="58">
        <f>MAX(F26*B26,0)</f>
        <v>0</v>
      </c>
      <c r="L26" s="58">
        <f t="shared" si="7"/>
        <v>0</v>
      </c>
      <c r="M26" s="58">
        <f t="shared" si="8"/>
        <v>0</v>
      </c>
      <c r="N26" s="58">
        <f t="shared" ref="N26:N44" si="11">MAX(K26-J26-L26-M26,0)</f>
        <v>0</v>
      </c>
      <c r="O26" s="71">
        <f t="shared" si="10"/>
        <v>0</v>
      </c>
    </row>
    <row r="27" spans="1:15" ht="15.75" customHeight="1" x14ac:dyDescent="0.35">
      <c r="A27" s="62">
        <v>45689</v>
      </c>
      <c r="B27" s="56">
        <f t="shared" si="4"/>
        <v>482.4736842105267</v>
      </c>
      <c r="C27" s="72">
        <v>0.38419999999999999</v>
      </c>
      <c r="D27" s="72">
        <v>0.81240000000000001</v>
      </c>
      <c r="E27" s="63">
        <v>0</v>
      </c>
      <c r="F27" s="64">
        <f t="shared" si="5"/>
        <v>1.1966000000000001</v>
      </c>
      <c r="G27" s="63">
        <v>100</v>
      </c>
      <c r="H27" s="73">
        <f>Registro_inversores!AB14</f>
        <v>382.4736842105267</v>
      </c>
      <c r="I27" s="1">
        <v>0</v>
      </c>
      <c r="J27" s="1">
        <v>132.01</v>
      </c>
      <c r="K27" s="58">
        <f t="shared" ref="K27:K44" si="12">F27*B27</f>
        <v>577.32801052631635</v>
      </c>
      <c r="L27" s="58">
        <f t="shared" si="7"/>
        <v>57.732801052631636</v>
      </c>
      <c r="M27" s="58">
        <f t="shared" si="8"/>
        <v>0</v>
      </c>
      <c r="N27" s="58">
        <f t="shared" si="11"/>
        <v>387.5852094736847</v>
      </c>
      <c r="O27" s="71">
        <f t="shared" si="10"/>
        <v>1.0133643842025597</v>
      </c>
    </row>
    <row r="28" spans="1:15" ht="15.75" customHeight="1" x14ac:dyDescent="0.35">
      <c r="A28" s="62">
        <v>45717</v>
      </c>
      <c r="B28" s="56">
        <f t="shared" si="4"/>
        <v>364.81203007518752</v>
      </c>
      <c r="C28" s="72">
        <v>0.35899999999999999</v>
      </c>
      <c r="D28" s="72">
        <v>0.76049999999999995</v>
      </c>
      <c r="E28" s="63">
        <v>0</v>
      </c>
      <c r="F28" s="64">
        <f t="shared" si="5"/>
        <v>1.1194999999999999</v>
      </c>
      <c r="G28" s="63">
        <v>120</v>
      </c>
      <c r="H28" s="73">
        <f>Registro_inversores!AC14</f>
        <v>244.81203007518752</v>
      </c>
      <c r="I28" s="1">
        <v>20</v>
      </c>
      <c r="J28" s="1">
        <v>132.53</v>
      </c>
      <c r="K28" s="58">
        <f t="shared" si="12"/>
        <v>408.40706766917242</v>
      </c>
      <c r="L28" s="58">
        <f t="shared" si="7"/>
        <v>40.840706766917243</v>
      </c>
      <c r="M28" s="58">
        <f t="shared" si="8"/>
        <v>0</v>
      </c>
      <c r="N28" s="58">
        <f t="shared" si="11"/>
        <v>235.03636090225521</v>
      </c>
      <c r="O28" s="71">
        <f t="shared" si="10"/>
        <v>0.8875592277115274</v>
      </c>
    </row>
    <row r="29" spans="1:15" ht="15.75" customHeight="1" x14ac:dyDescent="0.35">
      <c r="A29" s="62">
        <v>45748</v>
      </c>
      <c r="B29" s="56">
        <f t="shared" si="4"/>
        <v>306</v>
      </c>
      <c r="C29" s="72">
        <v>0.39463999999999999</v>
      </c>
      <c r="D29" s="72">
        <v>0.85009999999999997</v>
      </c>
      <c r="E29" s="63">
        <v>0</v>
      </c>
      <c r="F29" s="64">
        <f t="shared" si="5"/>
        <v>1.24474</v>
      </c>
      <c r="G29" s="63">
        <v>306</v>
      </c>
      <c r="H29" s="73">
        <f>Registro_inversores!AD14</f>
        <v>0</v>
      </c>
      <c r="I29" s="1">
        <v>206</v>
      </c>
      <c r="J29" s="1">
        <v>191.85</v>
      </c>
      <c r="K29" s="58">
        <f t="shared" si="12"/>
        <v>380.89044000000001</v>
      </c>
      <c r="L29" s="58">
        <f t="shared" si="7"/>
        <v>38.089044000000001</v>
      </c>
      <c r="M29" s="58">
        <f t="shared" si="8"/>
        <v>0</v>
      </c>
      <c r="N29" s="58">
        <f t="shared" si="11"/>
        <v>150.95139600000002</v>
      </c>
      <c r="O29" s="71">
        <f t="shared" si="10"/>
        <v>0.7327737669902914</v>
      </c>
    </row>
    <row r="30" spans="1:15" ht="15.75" customHeight="1" x14ac:dyDescent="0.35">
      <c r="A30" s="62">
        <v>45778</v>
      </c>
      <c r="B30" s="56">
        <f t="shared" si="4"/>
        <v>188.53571428571422</v>
      </c>
      <c r="C30" s="72">
        <v>0.38641999999999999</v>
      </c>
      <c r="D30" s="72">
        <v>0.83253999999999995</v>
      </c>
      <c r="E30" s="63">
        <v>1.1390000000000001E-2</v>
      </c>
      <c r="F30" s="64">
        <f t="shared" si="5"/>
        <v>1.2303500000000001</v>
      </c>
      <c r="G30" s="63">
        <v>173</v>
      </c>
      <c r="H30" s="73">
        <f>Registro_inversores!AE14</f>
        <v>15.535714285714221</v>
      </c>
      <c r="I30" s="1">
        <v>73</v>
      </c>
      <c r="J30" s="1">
        <v>155.96</v>
      </c>
      <c r="K30" s="58">
        <f t="shared" si="12"/>
        <v>231.96491607142849</v>
      </c>
      <c r="L30" s="58">
        <f t="shared" si="7"/>
        <v>23.19649160714285</v>
      </c>
      <c r="M30" s="58">
        <f t="shared" si="8"/>
        <v>1.008421785714285</v>
      </c>
      <c r="N30" s="58">
        <f t="shared" si="11"/>
        <v>51.800002678571353</v>
      </c>
      <c r="O30" s="71">
        <f t="shared" si="10"/>
        <v>0.585074657119806</v>
      </c>
    </row>
    <row r="31" spans="1:15" ht="15.75" customHeight="1" x14ac:dyDescent="0.35">
      <c r="A31" s="62">
        <v>45809</v>
      </c>
      <c r="B31" s="56">
        <f t="shared" si="4"/>
        <v>353.31372549019579</v>
      </c>
      <c r="C31" s="72">
        <v>0.38400000000000001</v>
      </c>
      <c r="D31" s="72">
        <v>0.82679999999999998</v>
      </c>
      <c r="E31" s="63">
        <f>0.01339+0.02617</f>
        <v>3.9559999999999998E-2</v>
      </c>
      <c r="F31" s="64">
        <f t="shared" si="5"/>
        <v>1.2503599999999999</v>
      </c>
      <c r="G31" s="63">
        <v>180</v>
      </c>
      <c r="H31" s="73">
        <f t="array" ref="H31">_xlfn.XLOOKUP(A31,Registro_inversores!H:H,Registro_inversores!U:U)</f>
        <v>173.31372549019579</v>
      </c>
      <c r="I31" s="1">
        <v>80</v>
      </c>
      <c r="J31" s="1">
        <v>159.29</v>
      </c>
      <c r="K31" s="58">
        <f t="shared" si="12"/>
        <v>441.76934980392116</v>
      </c>
      <c r="L31" s="58">
        <f t="shared" si="7"/>
        <v>44.176934980392119</v>
      </c>
      <c r="M31" s="58">
        <f t="shared" si="8"/>
        <v>10.021090980392145</v>
      </c>
      <c r="N31" s="58">
        <f t="shared" si="11"/>
        <v>228.28132384313693</v>
      </c>
      <c r="O31" s="71">
        <f t="shared" si="10"/>
        <v>0.9011802396470312</v>
      </c>
    </row>
    <row r="32" spans="1:15" ht="15.75" customHeight="1" x14ac:dyDescent="0.35">
      <c r="A32" s="62">
        <v>45839</v>
      </c>
      <c r="B32" s="56">
        <f t="shared" si="4"/>
        <v>310.33333333333326</v>
      </c>
      <c r="C32" s="72">
        <v>0.37726999999999999</v>
      </c>
      <c r="D32" s="72">
        <v>0.80908999999999998</v>
      </c>
      <c r="E32" s="63">
        <v>5.7029999999999997E-2</v>
      </c>
      <c r="F32" s="64">
        <f t="shared" si="5"/>
        <v>1.24339</v>
      </c>
      <c r="G32" s="63">
        <v>91</v>
      </c>
      <c r="H32" s="73">
        <f t="array" ref="H32">_xlfn.XLOOKUP(A32,Registro_inversores!H:H,Registro_inversores!U:U)</f>
        <v>219.33333333333326</v>
      </c>
      <c r="I32" s="1">
        <v>11</v>
      </c>
      <c r="J32" s="1">
        <v>112.77</v>
      </c>
      <c r="K32" s="58">
        <f t="shared" si="12"/>
        <v>385.86536333333322</v>
      </c>
      <c r="L32" s="58">
        <f t="shared" si="7"/>
        <v>38.586536333333328</v>
      </c>
      <c r="M32" s="58">
        <f t="shared" si="8"/>
        <v>13.135909999999996</v>
      </c>
      <c r="N32" s="58">
        <f t="shared" si="11"/>
        <v>221.37291699999992</v>
      </c>
      <c r="O32" s="71">
        <f t="shared" si="10"/>
        <v>0.96109804775687402</v>
      </c>
    </row>
    <row r="33" spans="1:15" ht="15.75" customHeight="1" x14ac:dyDescent="0.35">
      <c r="A33" s="62">
        <v>45870</v>
      </c>
      <c r="B33" s="56">
        <f t="shared" si="4"/>
        <v>156.05714285714294</v>
      </c>
      <c r="C33" s="72">
        <v>0.36799999999999999</v>
      </c>
      <c r="D33" s="72">
        <v>0.79310000000000003</v>
      </c>
      <c r="E33" s="63">
        <v>7.5700000000000003E-2</v>
      </c>
      <c r="F33" s="64">
        <f t="shared" si="5"/>
        <v>1.2368000000000001</v>
      </c>
      <c r="G33" s="63">
        <v>100</v>
      </c>
      <c r="H33" s="73">
        <f t="array" ref="H33">_xlfn.XLOOKUP(A33,Registro_inversores!H:H,Registro_inversores!U:U)</f>
        <v>56.057142857142935</v>
      </c>
      <c r="I33" s="1">
        <v>0</v>
      </c>
      <c r="J33" s="1">
        <v>126.21</v>
      </c>
      <c r="K33" s="58">
        <f t="shared" si="12"/>
        <v>193.0114742857144</v>
      </c>
      <c r="L33" s="58">
        <f t="shared" si="7"/>
        <v>19.30114742857144</v>
      </c>
      <c r="M33" s="58">
        <f t="shared" si="8"/>
        <v>4.2435257142857203</v>
      </c>
      <c r="N33" s="58">
        <f t="shared" si="11"/>
        <v>43.256801142857242</v>
      </c>
      <c r="O33" s="71">
        <f t="shared" si="10"/>
        <v>0.77165547400611689</v>
      </c>
    </row>
    <row r="34" spans="1:15" ht="15.75" customHeight="1" x14ac:dyDescent="0.35">
      <c r="A34" s="62">
        <v>45901</v>
      </c>
      <c r="B34" s="56">
        <f t="shared" si="4"/>
        <v>403.22857142857174</v>
      </c>
      <c r="C34" s="72">
        <v>0.38111</v>
      </c>
      <c r="D34" s="72">
        <v>0.82</v>
      </c>
      <c r="E34" s="63">
        <v>0.1022</v>
      </c>
      <c r="F34" s="64">
        <f t="shared" si="5"/>
        <v>1.30331</v>
      </c>
      <c r="G34" s="63">
        <v>118</v>
      </c>
      <c r="H34" s="73">
        <f t="array" ref="H34">_xlfn.XLOOKUP(A34,Registro_inversores!H:H,Registro_inversores!U:U)</f>
        <v>285.22857142857174</v>
      </c>
      <c r="I34" s="1">
        <v>18</v>
      </c>
      <c r="J34" s="1">
        <v>153.74</v>
      </c>
      <c r="K34" s="58">
        <f t="shared" si="12"/>
        <v>525.53182942857177</v>
      </c>
      <c r="L34" s="58">
        <f t="shared" si="7"/>
        <v>52.553182942857177</v>
      </c>
      <c r="M34" s="58">
        <f t="shared" si="8"/>
        <v>30.989960000000032</v>
      </c>
      <c r="N34" s="58">
        <f t="shared" si="11"/>
        <v>288.24868648571453</v>
      </c>
      <c r="O34" s="71">
        <f t="shared" si="10"/>
        <v>0.95059870225195497</v>
      </c>
    </row>
    <row r="35" spans="1:15" ht="15.75" customHeight="1" x14ac:dyDescent="0.35">
      <c r="A35" s="62">
        <v>45931</v>
      </c>
      <c r="B35" s="56">
        <f t="shared" si="4"/>
        <v>246.33928571428578</v>
      </c>
      <c r="C35" s="72">
        <v>0.38095000000000001</v>
      </c>
      <c r="D35" s="72">
        <v>0.82030000000000003</v>
      </c>
      <c r="E35" s="63">
        <v>7.9920000000000005E-2</v>
      </c>
      <c r="F35" s="64">
        <f t="shared" si="5"/>
        <v>1.2811699999999999</v>
      </c>
      <c r="G35" s="63">
        <v>121</v>
      </c>
      <c r="H35" s="73">
        <f t="array" ref="H35">_xlfn.XLOOKUP(A35,Registro_inversores!H:H,Registro_inversores!U:U)</f>
        <v>125.33928571428578</v>
      </c>
      <c r="I35" s="1">
        <v>21</v>
      </c>
      <c r="J35" s="1">
        <v>153.27000000000001</v>
      </c>
      <c r="K35" s="58">
        <f t="shared" si="12"/>
        <v>315.60250267857151</v>
      </c>
      <c r="L35" s="58">
        <f t="shared" si="7"/>
        <v>31.560250267857153</v>
      </c>
      <c r="M35" s="58">
        <f t="shared" si="8"/>
        <v>11.69543571428572</v>
      </c>
      <c r="N35" s="58">
        <f t="shared" si="11"/>
        <v>119.07681669642862</v>
      </c>
      <c r="O35" s="71">
        <f t="shared" si="10"/>
        <v>0.81370368944478344</v>
      </c>
    </row>
    <row r="36" spans="1:15" ht="15.75" customHeight="1" x14ac:dyDescent="0.35">
      <c r="A36" s="62">
        <v>45962</v>
      </c>
      <c r="B36" s="56">
        <f t="shared" si="4"/>
        <v>645.29807692307668</v>
      </c>
      <c r="C36" s="72">
        <v>0.37690000000000001</v>
      </c>
      <c r="D36" s="72">
        <v>0.81179999999999997</v>
      </c>
      <c r="E36" s="63">
        <v>5.7099999999999998E-2</v>
      </c>
      <c r="F36" s="64">
        <f t="shared" si="5"/>
        <v>1.2457999999999998</v>
      </c>
      <c r="G36" s="63">
        <v>100</v>
      </c>
      <c r="H36" s="73">
        <f t="array" ref="H36">_xlfn.XLOOKUP(A36,Registro_inversores!H:H,Registro_inversores!U:U)</f>
        <v>545.29807692307668</v>
      </c>
      <c r="I36" s="1">
        <v>0</v>
      </c>
      <c r="J36" s="1">
        <v>141.94</v>
      </c>
      <c r="K36" s="58">
        <f t="shared" si="12"/>
        <v>803.91234423076878</v>
      </c>
      <c r="L36" s="58">
        <f t="shared" si="7"/>
        <v>80.391234423076881</v>
      </c>
      <c r="M36" s="58">
        <f t="shared" si="8"/>
        <v>31.136520192307678</v>
      </c>
      <c r="N36" s="58">
        <f t="shared" si="11"/>
        <v>550.4445896153843</v>
      </c>
      <c r="O36" s="71">
        <f t="shared" si="10"/>
        <v>1.0094379806386766</v>
      </c>
    </row>
    <row r="37" spans="1:15" ht="15.75" customHeight="1" x14ac:dyDescent="0.35">
      <c r="A37" s="62">
        <v>45992</v>
      </c>
      <c r="B37" s="56">
        <f t="shared" si="4"/>
        <v>510.38726790450892</v>
      </c>
      <c r="C37" s="72">
        <v>0.38500000000000001</v>
      </c>
      <c r="D37" s="72">
        <v>0.83042000000000005</v>
      </c>
      <c r="E37" s="63">
        <f>0.03306+0.01056</f>
        <v>4.3619999999999999E-2</v>
      </c>
      <c r="F37" s="64">
        <f t="shared" si="5"/>
        <v>1.2590399999999999</v>
      </c>
      <c r="G37" s="63">
        <v>124</v>
      </c>
      <c r="H37" s="73">
        <f t="array" ref="H37">_xlfn.XLOOKUP(A37,Registro_inversores!H:H,Registro_inversores!U:U)</f>
        <v>386.38726790450892</v>
      </c>
      <c r="I37" s="1">
        <v>24</v>
      </c>
      <c r="J37" s="1">
        <v>150.78</v>
      </c>
      <c r="K37" s="58">
        <f t="shared" si="12"/>
        <v>642.59798578249286</v>
      </c>
      <c r="L37" s="58">
        <f t="shared" si="7"/>
        <v>64.259798578249288</v>
      </c>
      <c r="M37" s="58">
        <f t="shared" si="8"/>
        <v>17.901092625994679</v>
      </c>
      <c r="N37" s="58">
        <f t="shared" si="11"/>
        <v>409.65709457824892</v>
      </c>
      <c r="O37" s="71">
        <f t="shared" si="10"/>
        <v>0.99822077003024889</v>
      </c>
    </row>
    <row r="38" spans="1:15" ht="15.75" customHeight="1" x14ac:dyDescent="0.35">
      <c r="A38" s="62">
        <v>46023</v>
      </c>
      <c r="B38" s="56">
        <f t="shared" si="4"/>
        <v>143.56465517241395</v>
      </c>
      <c r="C38" s="72">
        <v>0.38519999999999999</v>
      </c>
      <c r="D38" s="72">
        <v>0.83009999999999995</v>
      </c>
      <c r="E38" s="63">
        <v>1.3599999999999999E-2</v>
      </c>
      <c r="F38" s="64">
        <f t="shared" si="5"/>
        <v>1.2289000000000001</v>
      </c>
      <c r="G38" s="63">
        <v>100</v>
      </c>
      <c r="H38" s="73">
        <f t="array" ref="H38">_xlfn.XLOOKUP(A38,Registro_inversores!H:H,Registro_inversores!U:U)</f>
        <v>43.56465517241395</v>
      </c>
      <c r="I38" s="1">
        <v>0</v>
      </c>
      <c r="J38" s="1">
        <v>133.58000000000001</v>
      </c>
      <c r="K38" s="58">
        <f t="shared" si="12"/>
        <v>176.42660474137952</v>
      </c>
      <c r="L38" s="58">
        <f t="shared" si="7"/>
        <v>17.642660474137951</v>
      </c>
      <c r="M38" s="58">
        <f t="shared" si="8"/>
        <v>0.5924793103448297</v>
      </c>
      <c r="N38" s="58">
        <f t="shared" si="11"/>
        <v>24.611464956896729</v>
      </c>
      <c r="O38" s="71">
        <f t="shared" si="10"/>
        <v>0.56494111704759276</v>
      </c>
    </row>
    <row r="39" spans="1:15" ht="15.75" customHeight="1" x14ac:dyDescent="0.35">
      <c r="A39" s="62">
        <v>46054</v>
      </c>
      <c r="B39" s="56">
        <f t="shared" si="4"/>
        <v>612.375</v>
      </c>
      <c r="C39" s="72">
        <v>0.38129999999999997</v>
      </c>
      <c r="D39" s="72">
        <v>0.82121999999999995</v>
      </c>
      <c r="E39" s="63">
        <v>0</v>
      </c>
      <c r="F39" s="64">
        <f t="shared" si="5"/>
        <v>1.2025199999999998</v>
      </c>
      <c r="G39" s="63">
        <v>149</v>
      </c>
      <c r="H39" s="73">
        <f t="array" ref="H39">_xlfn.XLOOKUP(A39,Registro_inversores!H:H,Registro_inversores!U:U)</f>
        <v>463.375</v>
      </c>
      <c r="I39" s="1">
        <v>49</v>
      </c>
      <c r="J39" s="1">
        <v>145.35</v>
      </c>
      <c r="K39" s="58">
        <f t="shared" si="12"/>
        <v>736.3931849999999</v>
      </c>
      <c r="L39" s="58">
        <f t="shared" si="7"/>
        <v>73.639318499999987</v>
      </c>
      <c r="M39" s="58">
        <f t="shared" si="8"/>
        <v>0</v>
      </c>
      <c r="N39" s="58">
        <f t="shared" si="11"/>
        <v>517.40386649999994</v>
      </c>
      <c r="O39" s="71">
        <f t="shared" si="10"/>
        <v>1.0098148162966576</v>
      </c>
    </row>
    <row r="40" spans="1:15" ht="15.75" customHeight="1" x14ac:dyDescent="0.35">
      <c r="A40" s="62">
        <v>46082</v>
      </c>
      <c r="B40" s="56">
        <f t="shared" si="4"/>
        <v>38.692857142857065</v>
      </c>
      <c r="C40" s="72">
        <v>0.37109999999999999</v>
      </c>
      <c r="D40" s="72">
        <v>0.80152000000000001</v>
      </c>
      <c r="E40" s="63">
        <v>0</v>
      </c>
      <c r="F40" s="64">
        <f t="shared" si="5"/>
        <v>1.17262</v>
      </c>
      <c r="G40" s="63">
        <v>146</v>
      </c>
      <c r="H40" s="73">
        <f t="array" ref="H40">_xlfn.XLOOKUP(A40,Registro_inversores!H:H,Registro_inversores!U:U)</f>
        <v>-107.30714285714294</v>
      </c>
      <c r="I40" s="1">
        <v>46</v>
      </c>
      <c r="J40" s="1">
        <v>145.35</v>
      </c>
      <c r="K40" s="58">
        <f t="shared" si="12"/>
        <v>45.372018142857051</v>
      </c>
      <c r="L40" s="58">
        <f t="shared" si="7"/>
        <v>4.5372018142857051</v>
      </c>
      <c r="M40" s="58">
        <f t="shared" si="8"/>
        <v>0</v>
      </c>
      <c r="N40" s="58">
        <f t="shared" si="11"/>
        <v>0</v>
      </c>
      <c r="O40" s="71">
        <f t="shared" si="10"/>
        <v>0</v>
      </c>
    </row>
    <row r="41" spans="1:15" ht="15.75" customHeight="1" x14ac:dyDescent="0.35">
      <c r="A41" s="62">
        <v>46113</v>
      </c>
      <c r="B41" s="56">
        <f t="shared" si="4"/>
        <v>664.57142857142844</v>
      </c>
      <c r="C41" s="72">
        <v>0.43132999999999999</v>
      </c>
      <c r="D41" s="72">
        <v>0.95840000000000003</v>
      </c>
      <c r="E41" s="63">
        <v>0</v>
      </c>
      <c r="F41" s="64">
        <f t="shared" si="5"/>
        <v>1.3897300000000001</v>
      </c>
      <c r="G41" s="63">
        <v>213</v>
      </c>
      <c r="H41" s="74">
        <f t="array" ref="H41">_xlfn.XLOOKUP(A41,Registro_inversores!H:H,Registro_inversores!U:U)+H40</f>
        <v>451.57142857142844</v>
      </c>
      <c r="I41" s="1">
        <v>113</v>
      </c>
      <c r="J41" s="1">
        <v>181.8</v>
      </c>
      <c r="K41" s="58">
        <f t="shared" si="12"/>
        <v>923.57485142857138</v>
      </c>
      <c r="L41" s="58">
        <f t="shared" si="7"/>
        <v>92.357485142857144</v>
      </c>
      <c r="M41" s="58">
        <f t="shared" si="8"/>
        <v>0</v>
      </c>
      <c r="N41" s="58">
        <f t="shared" si="11"/>
        <v>649.41736628571414</v>
      </c>
      <c r="O41" s="71">
        <f t="shared" si="10"/>
        <v>1.1502837965587045</v>
      </c>
    </row>
    <row r="42" spans="1:15" ht="15.75" customHeight="1" x14ac:dyDescent="0.35">
      <c r="A42" s="62">
        <v>46143</v>
      </c>
      <c r="B42" s="56">
        <f t="shared" si="4"/>
        <v>505.98626373626394</v>
      </c>
      <c r="C42" s="72">
        <v>0.43242000000000003</v>
      </c>
      <c r="D42" s="72">
        <v>0.96113000000000004</v>
      </c>
      <c r="E42" s="63">
        <v>0</v>
      </c>
      <c r="F42" s="64">
        <f t="shared" si="5"/>
        <v>1.3935500000000001</v>
      </c>
      <c r="G42" s="63">
        <v>162</v>
      </c>
      <c r="H42" s="73">
        <f t="array" ref="H42">_xlfn.XLOOKUP(A42,Registro_inversores!H:H,Registro_inversores!U:U)</f>
        <v>343.98626373626394</v>
      </c>
      <c r="I42" s="1">
        <v>62</v>
      </c>
      <c r="J42" s="1">
        <v>172.37</v>
      </c>
      <c r="K42" s="58">
        <f t="shared" si="12"/>
        <v>705.11715782967065</v>
      </c>
      <c r="L42" s="58">
        <f t="shared" si="7"/>
        <v>70.511715782967073</v>
      </c>
      <c r="M42" s="58">
        <f t="shared" si="8"/>
        <v>0</v>
      </c>
      <c r="N42" s="58">
        <f t="shared" si="11"/>
        <v>462.23544204670355</v>
      </c>
      <c r="O42" s="71">
        <f t="shared" si="10"/>
        <v>1.1385494617300158</v>
      </c>
    </row>
    <row r="43" spans="1:15" ht="15.75" customHeight="1" x14ac:dyDescent="0.35">
      <c r="A43" s="62">
        <v>46174</v>
      </c>
      <c r="B43" s="56">
        <f t="shared" si="4"/>
        <v>33.784144427001593</v>
      </c>
      <c r="C43" s="72">
        <v>0.42930000000000001</v>
      </c>
      <c r="D43" s="72">
        <v>0.95399999999999996</v>
      </c>
      <c r="E43" s="63">
        <v>2.4340000000000001E-2</v>
      </c>
      <c r="F43" s="64">
        <f t="shared" si="5"/>
        <v>1.40764</v>
      </c>
      <c r="G43" s="63">
        <v>122</v>
      </c>
      <c r="H43" s="73">
        <f t="array" ref="H43">_xlfn.XLOOKUP(A43,Registro_inversores!H:H,Registro_inversores!U:U)</f>
        <v>-88.215855572998407</v>
      </c>
      <c r="I43" s="1">
        <v>22</v>
      </c>
      <c r="J43" s="1">
        <v>165.65</v>
      </c>
      <c r="K43" s="58">
        <f t="shared" si="12"/>
        <v>47.555913061224523</v>
      </c>
      <c r="L43" s="58">
        <f t="shared" si="7"/>
        <v>4.7555913061224526</v>
      </c>
      <c r="M43" s="58">
        <f t="shared" si="8"/>
        <v>-1.6116939246467812</v>
      </c>
      <c r="N43" s="58">
        <f t="shared" si="11"/>
        <v>0</v>
      </c>
      <c r="O43" s="71">
        <f t="shared" si="10"/>
        <v>0</v>
      </c>
    </row>
    <row r="44" spans="1:15" ht="15.75" customHeight="1" x14ac:dyDescent="0.35">
      <c r="A44" s="62">
        <v>46204</v>
      </c>
      <c r="B44" s="56">
        <f t="shared" si="4"/>
        <v>359.19230769230762</v>
      </c>
      <c r="C44" s="72">
        <v>0.43769000000000002</v>
      </c>
      <c r="D44" s="72">
        <v>0.97289999999999999</v>
      </c>
      <c r="E44" s="63">
        <v>2.487E-2</v>
      </c>
      <c r="F44" s="64">
        <f t="shared" si="5"/>
        <v>1.43546</v>
      </c>
      <c r="G44" s="63">
        <v>113</v>
      </c>
      <c r="H44" s="74">
        <f t="array" ref="H44">_xlfn.XLOOKUP(A44,Registro_inversores!H:H,Registro_inversores!U:U)+H43</f>
        <v>246.19230769230762</v>
      </c>
      <c r="I44" s="1">
        <v>13</v>
      </c>
      <c r="J44" s="1">
        <v>166.96</v>
      </c>
      <c r="K44" s="58">
        <f t="shared" si="12"/>
        <v>515.60618999999986</v>
      </c>
      <c r="L44" s="58">
        <f t="shared" si="7"/>
        <v>51.560618999999988</v>
      </c>
      <c r="M44" s="58">
        <f t="shared" si="8"/>
        <v>6.4461126923076906</v>
      </c>
      <c r="N44" s="58">
        <f t="shared" si="11"/>
        <v>290.63945830769217</v>
      </c>
      <c r="O44" s="71">
        <f t="shared" si="10"/>
        <v>1.121327484196468</v>
      </c>
    </row>
    <row r="45" spans="1:15" ht="15.75" customHeight="1" x14ac:dyDescent="0.35">
      <c r="A45" s="62">
        <v>46235</v>
      </c>
      <c r="B45" s="56">
        <f t="shared" ref="B45" si="13">G45+H45</f>
        <v>30</v>
      </c>
      <c r="C45" s="72">
        <v>0.41499999999999998</v>
      </c>
      <c r="D45" s="72">
        <v>0.92230000000000001</v>
      </c>
      <c r="E45" s="63">
        <v>2.3599999999999999E-2</v>
      </c>
      <c r="F45" s="64">
        <f t="shared" ref="F45" si="14">D45+C45+E45</f>
        <v>1.3609</v>
      </c>
      <c r="G45" s="63">
        <v>100</v>
      </c>
      <c r="H45" s="73">
        <f t="array" ref="H45">_xlfn.XLOOKUP(A45,Registro_inversores!H:H,Registro_inversores!U:U)</f>
        <v>-70</v>
      </c>
      <c r="I45" s="1">
        <v>0</v>
      </c>
      <c r="J45" s="1">
        <v>139.91999999999999</v>
      </c>
      <c r="K45" s="58">
        <f t="shared" ref="K45" si="15">F45*B45</f>
        <v>40.826999999999998</v>
      </c>
      <c r="L45" s="58">
        <f t="shared" ref="L45" si="16">10%*K45</f>
        <v>4.0827</v>
      </c>
      <c r="M45" s="58">
        <f t="shared" ref="M45" si="17">E45*(H45+I45)</f>
        <v>-1.6519999999999999</v>
      </c>
      <c r="N45" s="58">
        <f t="shared" ref="N45" si="18">MAX(K45-J45-L45-M45,0)</f>
        <v>0</v>
      </c>
      <c r="O45" s="71">
        <f t="shared" ref="O45" si="19">N45/(SUM(H45:I45))</f>
        <v>0</v>
      </c>
    </row>
    <row r="46" spans="1:15" ht="15.75" customHeight="1" x14ac:dyDescent="0.35"/>
    <row r="47" spans="1:15" ht="15.75" customHeight="1" x14ac:dyDescent="0.35"/>
    <row r="48" spans="1:15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511811024" right="0.511811024" top="0.78740157499999996" bottom="0.78740157499999996" header="0" footer="0"/>
  <pageSetup orientation="landscape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11"/>
  <dimension ref="A1:W1000"/>
  <sheetViews>
    <sheetView showGridLines="0" topLeftCell="A23" workbookViewId="0">
      <selection activeCell="G32" sqref="G32"/>
    </sheetView>
  </sheetViews>
  <sheetFormatPr defaultColWidth="14.453125" defaultRowHeight="15" customHeight="1" x14ac:dyDescent="0.35"/>
  <cols>
    <col min="1" max="1" width="17.26953125" customWidth="1"/>
    <col min="2" max="5" width="15.26953125" customWidth="1"/>
    <col min="6" max="6" width="15" customWidth="1"/>
    <col min="7" max="8" width="23.7265625" customWidth="1"/>
    <col min="9" max="9" width="27" customWidth="1"/>
    <col min="10" max="10" width="23.81640625" customWidth="1"/>
    <col min="11" max="11" width="9.453125" customWidth="1"/>
    <col min="12" max="12" width="15" customWidth="1"/>
    <col min="13" max="13" width="18.1796875" customWidth="1"/>
    <col min="14" max="14" width="17.54296875" customWidth="1"/>
    <col min="15" max="15" width="22" customWidth="1"/>
    <col min="16" max="16" width="26.26953125" customWidth="1"/>
    <col min="17" max="23" width="8.7265625" customWidth="1"/>
  </cols>
  <sheetData>
    <row r="1" spans="1:17" ht="14.5" x14ac:dyDescent="0.35">
      <c r="A1" s="3" t="s">
        <v>75</v>
      </c>
      <c r="B1" s="3" t="s">
        <v>179</v>
      </c>
      <c r="C1" s="3" t="s">
        <v>173</v>
      </c>
      <c r="D1" s="3" t="s">
        <v>174</v>
      </c>
      <c r="E1" s="3" t="s">
        <v>175</v>
      </c>
      <c r="F1" s="3" t="s">
        <v>191</v>
      </c>
      <c r="G1" s="3" t="s">
        <v>201</v>
      </c>
      <c r="H1" s="3" t="s">
        <v>202</v>
      </c>
      <c r="I1" s="3" t="s">
        <v>203</v>
      </c>
      <c r="J1" s="3" t="s">
        <v>183</v>
      </c>
      <c r="K1" s="3" t="s">
        <v>184</v>
      </c>
      <c r="L1" s="3" t="s">
        <v>185</v>
      </c>
      <c r="M1" s="3" t="s">
        <v>204</v>
      </c>
      <c r="N1" s="3" t="s">
        <v>205</v>
      </c>
      <c r="O1" s="3" t="s">
        <v>206</v>
      </c>
      <c r="P1" s="3" t="s">
        <v>196</v>
      </c>
    </row>
    <row r="2" spans="1:17" ht="14.5" x14ac:dyDescent="0.35">
      <c r="A2" s="75">
        <v>44986</v>
      </c>
      <c r="B2" s="42">
        <v>3231</v>
      </c>
      <c r="C2" s="1"/>
      <c r="D2" s="1"/>
      <c r="E2" s="1"/>
      <c r="F2" s="1">
        <v>1.10433</v>
      </c>
      <c r="G2" s="46">
        <f t="shared" ref="G2:G11" si="0">H2+I2</f>
        <v>3131</v>
      </c>
      <c r="H2" s="46">
        <v>0</v>
      </c>
      <c r="I2" s="46">
        <v>3131</v>
      </c>
      <c r="J2" s="46">
        <v>557.47</v>
      </c>
      <c r="K2" s="46">
        <f t="shared" ref="K2:K32" si="1">B2*F2</f>
        <v>3568.0902300000002</v>
      </c>
      <c r="L2" s="46">
        <f t="shared" ref="L2:L17" si="2">90%*K2-J2</f>
        <v>2653.8112070000006</v>
      </c>
      <c r="M2" s="46">
        <f t="shared" ref="M2:M32" si="3">SUM(N2:O2)</f>
        <v>356.80902300000002</v>
      </c>
      <c r="N2" s="46">
        <f t="shared" ref="N2:N32" si="4">K2*0.1</f>
        <v>356.80902300000002</v>
      </c>
      <c r="O2" s="46"/>
      <c r="P2" s="46">
        <f t="shared" ref="P2:P32" si="5">L2/G2</f>
        <v>0.84759220919833944</v>
      </c>
      <c r="Q2" s="16">
        <f t="shared" ref="Q2:Q32" si="6">P2/F2</f>
        <v>0.76751714541698535</v>
      </c>
    </row>
    <row r="3" spans="1:17" ht="14.5" x14ac:dyDescent="0.35">
      <c r="A3" s="75">
        <v>45017</v>
      </c>
      <c r="B3" s="42">
        <v>2601</v>
      </c>
      <c r="C3" s="43"/>
      <c r="D3" s="43"/>
      <c r="E3" s="43"/>
      <c r="F3" s="76">
        <v>1.1946700000000001</v>
      </c>
      <c r="G3" s="46">
        <f t="shared" si="0"/>
        <v>2470</v>
      </c>
      <c r="H3" s="46">
        <v>1266</v>
      </c>
      <c r="I3" s="46">
        <v>1204</v>
      </c>
      <c r="J3" s="46">
        <v>612.19000000000005</v>
      </c>
      <c r="K3" s="46">
        <f t="shared" si="1"/>
        <v>3107.3366700000001</v>
      </c>
      <c r="L3" s="46">
        <f t="shared" si="2"/>
        <v>2184.4130030000001</v>
      </c>
      <c r="M3" s="46">
        <f t="shared" si="3"/>
        <v>310.73366700000003</v>
      </c>
      <c r="N3" s="46">
        <f t="shared" si="4"/>
        <v>310.73366700000003</v>
      </c>
      <c r="O3" s="46"/>
      <c r="P3" s="46">
        <f t="shared" si="5"/>
        <v>0.88437773400809716</v>
      </c>
      <c r="Q3" s="16">
        <f t="shared" si="6"/>
        <v>0.74026947525935782</v>
      </c>
    </row>
    <row r="4" spans="1:17" ht="14.5" x14ac:dyDescent="0.35">
      <c r="A4" s="75">
        <v>45047</v>
      </c>
      <c r="B4" s="42">
        <v>2742</v>
      </c>
      <c r="C4" s="43"/>
      <c r="D4" s="43"/>
      <c r="E4" s="43"/>
      <c r="F4" s="76">
        <v>1.16343</v>
      </c>
      <c r="G4" s="46">
        <f t="shared" si="0"/>
        <v>2642</v>
      </c>
      <c r="H4" s="46">
        <v>1607</v>
      </c>
      <c r="I4" s="46">
        <v>1035</v>
      </c>
      <c r="J4" s="46">
        <v>621.26</v>
      </c>
      <c r="K4" s="46">
        <f t="shared" si="1"/>
        <v>3190.1250599999998</v>
      </c>
      <c r="L4" s="46">
        <f t="shared" si="2"/>
        <v>2249.8525540000001</v>
      </c>
      <c r="M4" s="46">
        <f t="shared" si="3"/>
        <v>319.01250600000003</v>
      </c>
      <c r="N4" s="46">
        <f t="shared" si="4"/>
        <v>319.01250600000003</v>
      </c>
      <c r="O4" s="46"/>
      <c r="P4" s="46">
        <f t="shared" si="5"/>
        <v>0.85157174640423927</v>
      </c>
      <c r="Q4" s="16">
        <f t="shared" si="6"/>
        <v>0.73194927619559347</v>
      </c>
    </row>
    <row r="5" spans="1:17" ht="14.5" x14ac:dyDescent="0.35">
      <c r="A5" s="75">
        <v>45078</v>
      </c>
      <c r="B5" s="42">
        <v>2435</v>
      </c>
      <c r="C5" s="1"/>
      <c r="D5" s="1"/>
      <c r="E5" s="1"/>
      <c r="F5" s="1">
        <v>1.2133799999999999</v>
      </c>
      <c r="G5" s="46">
        <f t="shared" si="0"/>
        <v>2335</v>
      </c>
      <c r="H5" s="46">
        <v>1321</v>
      </c>
      <c r="I5" s="46">
        <v>1014</v>
      </c>
      <c r="J5" s="46">
        <v>534.61</v>
      </c>
      <c r="K5" s="46">
        <f t="shared" si="1"/>
        <v>2954.5802999999996</v>
      </c>
      <c r="L5" s="46">
        <f t="shared" si="2"/>
        <v>2124.5122699999997</v>
      </c>
      <c r="M5" s="46">
        <f t="shared" si="3"/>
        <v>295.45802999999995</v>
      </c>
      <c r="N5" s="46">
        <f t="shared" si="4"/>
        <v>295.45802999999995</v>
      </c>
      <c r="O5" s="46"/>
      <c r="P5" s="46">
        <f t="shared" si="5"/>
        <v>0.90985536188436822</v>
      </c>
      <c r="Q5" s="16">
        <f t="shared" si="6"/>
        <v>0.74985195230213808</v>
      </c>
    </row>
    <row r="6" spans="1:17" ht="14.5" x14ac:dyDescent="0.35">
      <c r="A6" s="75">
        <v>45108</v>
      </c>
      <c r="B6" s="42">
        <v>2198</v>
      </c>
      <c r="C6" s="1"/>
      <c r="D6" s="1"/>
      <c r="E6" s="1"/>
      <c r="F6" s="1">
        <v>1.2028000000000001</v>
      </c>
      <c r="G6" s="46">
        <f t="shared" si="0"/>
        <v>1781</v>
      </c>
      <c r="H6" s="46">
        <v>534</v>
      </c>
      <c r="I6" s="46">
        <v>1247</v>
      </c>
      <c r="J6" s="46">
        <v>868.7</v>
      </c>
      <c r="K6" s="46">
        <f t="shared" si="1"/>
        <v>2643.7544000000003</v>
      </c>
      <c r="L6" s="46">
        <f t="shared" si="2"/>
        <v>1510.6789600000004</v>
      </c>
      <c r="M6" s="46">
        <f t="shared" si="3"/>
        <v>264.37544000000003</v>
      </c>
      <c r="N6" s="46">
        <f t="shared" si="4"/>
        <v>264.37544000000003</v>
      </c>
      <c r="O6" s="46"/>
      <c r="P6" s="46">
        <f t="shared" si="5"/>
        <v>0.84821951712521082</v>
      </c>
      <c r="Q6" s="16">
        <f t="shared" si="6"/>
        <v>0.70520412132125931</v>
      </c>
    </row>
    <row r="7" spans="1:17" ht="14.5" x14ac:dyDescent="0.35">
      <c r="A7" s="75">
        <v>45139</v>
      </c>
      <c r="B7" s="42">
        <v>2601</v>
      </c>
      <c r="C7" s="1"/>
      <c r="D7" s="1"/>
      <c r="E7" s="1"/>
      <c r="F7" s="1">
        <v>1.18275</v>
      </c>
      <c r="G7" s="46">
        <f t="shared" si="0"/>
        <v>2501</v>
      </c>
      <c r="H7" s="46">
        <v>0</v>
      </c>
      <c r="I7" s="46">
        <v>2501</v>
      </c>
      <c r="J7" s="46">
        <v>632.26</v>
      </c>
      <c r="K7" s="46">
        <f t="shared" si="1"/>
        <v>3076.33275</v>
      </c>
      <c r="L7" s="46">
        <f t="shared" si="2"/>
        <v>2136.4394750000001</v>
      </c>
      <c r="M7" s="46">
        <f t="shared" si="3"/>
        <v>307.63327500000003</v>
      </c>
      <c r="N7" s="46">
        <f t="shared" si="4"/>
        <v>307.63327500000003</v>
      </c>
      <c r="O7" s="46"/>
      <c r="P7" s="46">
        <f t="shared" si="5"/>
        <v>0.85423409636145542</v>
      </c>
      <c r="Q7" s="16">
        <f t="shared" si="6"/>
        <v>0.72224400453304205</v>
      </c>
    </row>
    <row r="8" spans="1:17" ht="14.5" x14ac:dyDescent="0.35">
      <c r="A8" s="75">
        <v>45170</v>
      </c>
      <c r="B8" s="42">
        <v>2888</v>
      </c>
      <c r="C8" s="1"/>
      <c r="D8" s="1"/>
      <c r="E8" s="1"/>
      <c r="F8" s="1">
        <v>1.2209399999999999</v>
      </c>
      <c r="G8" s="46">
        <f t="shared" si="0"/>
        <v>2787</v>
      </c>
      <c r="H8" s="46">
        <v>1913</v>
      </c>
      <c r="I8" s="46">
        <v>874</v>
      </c>
      <c r="J8" s="46">
        <v>678.12</v>
      </c>
      <c r="K8" s="46">
        <f t="shared" si="1"/>
        <v>3526.0747199999996</v>
      </c>
      <c r="L8" s="46">
        <f t="shared" si="2"/>
        <v>2495.347248</v>
      </c>
      <c r="M8" s="46">
        <f t="shared" si="3"/>
        <v>352.60747199999997</v>
      </c>
      <c r="N8" s="46">
        <f t="shared" si="4"/>
        <v>352.60747199999997</v>
      </c>
      <c r="O8" s="46"/>
      <c r="P8" s="46">
        <f t="shared" si="5"/>
        <v>0.89535243918191609</v>
      </c>
      <c r="Q8" s="16">
        <f t="shared" si="6"/>
        <v>0.73333041687709155</v>
      </c>
    </row>
    <row r="9" spans="1:17" ht="14.5" x14ac:dyDescent="0.35">
      <c r="A9" s="75">
        <v>45200</v>
      </c>
      <c r="B9" s="42">
        <v>2967</v>
      </c>
      <c r="C9" s="1"/>
      <c r="D9" s="1"/>
      <c r="E9" s="1"/>
      <c r="F9" s="1">
        <v>1.18716</v>
      </c>
      <c r="G9" s="46">
        <f t="shared" si="0"/>
        <v>2867</v>
      </c>
      <c r="H9" s="46">
        <v>2867</v>
      </c>
      <c r="I9" s="46">
        <v>0</v>
      </c>
      <c r="J9" s="46">
        <v>672.09</v>
      </c>
      <c r="K9" s="46">
        <f t="shared" si="1"/>
        <v>3522.3037199999999</v>
      </c>
      <c r="L9" s="46">
        <f t="shared" si="2"/>
        <v>2497.9833479999998</v>
      </c>
      <c r="M9" s="46">
        <f t="shared" si="3"/>
        <v>352.23037199999999</v>
      </c>
      <c r="N9" s="46">
        <f t="shared" si="4"/>
        <v>352.23037199999999</v>
      </c>
      <c r="O9" s="46"/>
      <c r="P9" s="46">
        <f t="shared" si="5"/>
        <v>0.87128822741541667</v>
      </c>
      <c r="Q9" s="16">
        <f t="shared" si="6"/>
        <v>0.73392653678983177</v>
      </c>
    </row>
    <row r="10" spans="1:17" ht="14.5" x14ac:dyDescent="0.35">
      <c r="A10" s="75">
        <v>45231</v>
      </c>
      <c r="B10" s="42">
        <v>2711</v>
      </c>
      <c r="C10" s="1"/>
      <c r="D10" s="1"/>
      <c r="E10" s="1"/>
      <c r="F10" s="1">
        <v>1.18485</v>
      </c>
      <c r="G10" s="46">
        <f t="shared" si="0"/>
        <v>2611</v>
      </c>
      <c r="H10" s="46">
        <v>2611</v>
      </c>
      <c r="I10" s="46">
        <v>0</v>
      </c>
      <c r="J10" s="46">
        <v>635.30999999999995</v>
      </c>
      <c r="K10" s="46">
        <f t="shared" si="1"/>
        <v>3212.12835</v>
      </c>
      <c r="L10" s="46">
        <f t="shared" si="2"/>
        <v>2255.6055150000002</v>
      </c>
      <c r="M10" s="46">
        <f t="shared" si="3"/>
        <v>321.21283500000004</v>
      </c>
      <c r="N10" s="46">
        <f t="shared" si="4"/>
        <v>321.21283500000004</v>
      </c>
      <c r="O10" s="46"/>
      <c r="P10" s="46">
        <f t="shared" si="5"/>
        <v>0.86388568173113756</v>
      </c>
      <c r="Q10" s="16">
        <f t="shared" si="6"/>
        <v>0.729109745310493</v>
      </c>
    </row>
    <row r="11" spans="1:17" ht="14.5" x14ac:dyDescent="0.35">
      <c r="A11" s="75">
        <v>45261</v>
      </c>
      <c r="B11" s="42">
        <v>2575</v>
      </c>
      <c r="C11" s="1"/>
      <c r="D11" s="1"/>
      <c r="E11" s="1"/>
      <c r="F11" s="1">
        <v>1.2296899999999999</v>
      </c>
      <c r="G11" s="46">
        <f t="shared" si="0"/>
        <v>2475</v>
      </c>
      <c r="H11" s="46">
        <v>2475</v>
      </c>
      <c r="I11" s="46">
        <v>0</v>
      </c>
      <c r="J11" s="46">
        <v>566.72</v>
      </c>
      <c r="K11" s="46">
        <f t="shared" si="1"/>
        <v>3166.4517499999997</v>
      </c>
      <c r="L11" s="46">
        <f t="shared" si="2"/>
        <v>2283.0865749999994</v>
      </c>
      <c r="M11" s="46">
        <f t="shared" si="3"/>
        <v>316.64517499999999</v>
      </c>
      <c r="N11" s="46">
        <f t="shared" si="4"/>
        <v>316.64517499999999</v>
      </c>
      <c r="O11" s="46"/>
      <c r="P11" s="46">
        <f t="shared" si="5"/>
        <v>0.92245922222222199</v>
      </c>
      <c r="Q11" s="16">
        <f t="shared" si="6"/>
        <v>0.7501559110200311</v>
      </c>
    </row>
    <row r="12" spans="1:17" ht="14.5" x14ac:dyDescent="0.35">
      <c r="A12" s="75">
        <v>45292</v>
      </c>
      <c r="B12" s="42">
        <v>3038</v>
      </c>
      <c r="C12" s="1"/>
      <c r="D12" s="1"/>
      <c r="E12" s="1"/>
      <c r="F12" s="1">
        <v>1.22</v>
      </c>
      <c r="G12" s="46">
        <v>2938</v>
      </c>
      <c r="H12" s="46"/>
      <c r="I12" s="46"/>
      <c r="J12" s="46">
        <v>703.09</v>
      </c>
      <c r="K12" s="46">
        <f t="shared" si="1"/>
        <v>3706.36</v>
      </c>
      <c r="L12" s="46">
        <f t="shared" si="2"/>
        <v>2632.634</v>
      </c>
      <c r="M12" s="46">
        <f t="shared" si="3"/>
        <v>370.63600000000002</v>
      </c>
      <c r="N12" s="46">
        <f t="shared" si="4"/>
        <v>370.63600000000002</v>
      </c>
      <c r="O12" s="46"/>
      <c r="P12" s="46">
        <f t="shared" si="5"/>
        <v>0.89606330837304293</v>
      </c>
      <c r="Q12" s="16">
        <f t="shared" si="6"/>
        <v>0.73447812161724835</v>
      </c>
    </row>
    <row r="13" spans="1:17" ht="14.5" x14ac:dyDescent="0.35">
      <c r="A13" s="75">
        <v>45323</v>
      </c>
      <c r="B13" s="42">
        <v>2815</v>
      </c>
      <c r="C13" s="1"/>
      <c r="D13" s="1"/>
      <c r="E13" s="1"/>
      <c r="F13" s="1">
        <v>1.2170000000000001</v>
      </c>
      <c r="G13" s="46">
        <v>2715</v>
      </c>
      <c r="H13" s="46"/>
      <c r="I13" s="46"/>
      <c r="J13" s="46">
        <v>673.64</v>
      </c>
      <c r="K13" s="46">
        <f t="shared" si="1"/>
        <v>3425.855</v>
      </c>
      <c r="L13" s="46">
        <f t="shared" si="2"/>
        <v>2409.6295</v>
      </c>
      <c r="M13" s="46">
        <f t="shared" si="3"/>
        <v>342.58550000000002</v>
      </c>
      <c r="N13" s="46">
        <f t="shared" si="4"/>
        <v>342.58550000000002</v>
      </c>
      <c r="O13" s="46"/>
      <c r="P13" s="46">
        <f t="shared" si="5"/>
        <v>0.88752467771639043</v>
      </c>
      <c r="Q13" s="16">
        <f t="shared" si="6"/>
        <v>0.72927253715397733</v>
      </c>
    </row>
    <row r="14" spans="1:17" ht="14.5" x14ac:dyDescent="0.35">
      <c r="A14" s="75">
        <v>45352</v>
      </c>
      <c r="B14" s="42">
        <v>2975</v>
      </c>
      <c r="C14" s="1"/>
      <c r="D14" s="1"/>
      <c r="E14" s="1"/>
      <c r="F14" s="1">
        <v>1.1903000000000001</v>
      </c>
      <c r="G14" s="46">
        <f t="shared" ref="G14:G16" si="7">H14+I14</f>
        <v>2875</v>
      </c>
      <c r="H14" s="46">
        <v>2875</v>
      </c>
      <c r="I14" s="46">
        <v>0</v>
      </c>
      <c r="J14" s="46">
        <v>697.63</v>
      </c>
      <c r="K14" s="46">
        <f t="shared" si="1"/>
        <v>3541.1425000000004</v>
      </c>
      <c r="L14" s="46">
        <f t="shared" si="2"/>
        <v>2489.3982500000002</v>
      </c>
      <c r="M14" s="46">
        <f t="shared" si="3"/>
        <v>354.11425000000008</v>
      </c>
      <c r="N14" s="46">
        <f t="shared" si="4"/>
        <v>354.11425000000008</v>
      </c>
      <c r="O14" s="46"/>
      <c r="P14" s="46">
        <f t="shared" si="5"/>
        <v>0.8658776521739131</v>
      </c>
      <c r="Q14" s="16">
        <f t="shared" si="6"/>
        <v>0.72744488966975807</v>
      </c>
    </row>
    <row r="15" spans="1:17" ht="14.5" x14ac:dyDescent="0.35">
      <c r="A15" s="75">
        <v>45383</v>
      </c>
      <c r="B15" s="42">
        <v>2631</v>
      </c>
      <c r="C15" s="1"/>
      <c r="D15" s="1"/>
      <c r="E15" s="1"/>
      <c r="F15" s="1">
        <v>1.2511800000000002</v>
      </c>
      <c r="G15" s="46">
        <f t="shared" si="7"/>
        <v>2531</v>
      </c>
      <c r="H15" s="46">
        <v>2531</v>
      </c>
      <c r="I15" s="46">
        <v>0</v>
      </c>
      <c r="J15" s="46">
        <v>698.11</v>
      </c>
      <c r="K15" s="46">
        <f t="shared" si="1"/>
        <v>3291.8545800000006</v>
      </c>
      <c r="L15" s="46">
        <f t="shared" si="2"/>
        <v>2264.5591220000006</v>
      </c>
      <c r="M15" s="46">
        <f t="shared" si="3"/>
        <v>329.1854580000001</v>
      </c>
      <c r="N15" s="46">
        <f t="shared" si="4"/>
        <v>329.1854580000001</v>
      </c>
      <c r="O15" s="46"/>
      <c r="P15" s="46">
        <f t="shared" si="5"/>
        <v>0.89472900908731745</v>
      </c>
      <c r="Q15" s="16">
        <f t="shared" si="6"/>
        <v>0.71510814518080323</v>
      </c>
    </row>
    <row r="16" spans="1:17" ht="14.5" x14ac:dyDescent="0.35">
      <c r="A16" s="75">
        <v>45413</v>
      </c>
      <c r="B16" s="42">
        <v>2568</v>
      </c>
      <c r="C16" s="1"/>
      <c r="D16" s="1"/>
      <c r="E16" s="1"/>
      <c r="F16" s="1">
        <v>1.2350300000000001</v>
      </c>
      <c r="G16" s="46">
        <f t="shared" si="7"/>
        <v>2468</v>
      </c>
      <c r="H16" s="46">
        <v>2468</v>
      </c>
      <c r="I16" s="46">
        <v>0</v>
      </c>
      <c r="J16" s="46">
        <v>697.11</v>
      </c>
      <c r="K16" s="46">
        <f t="shared" si="1"/>
        <v>3171.5570400000001</v>
      </c>
      <c r="L16" s="46">
        <f t="shared" si="2"/>
        <v>2157.2913360000002</v>
      </c>
      <c r="M16" s="46">
        <f t="shared" si="3"/>
        <v>317.15570400000001</v>
      </c>
      <c r="N16" s="46">
        <f t="shared" si="4"/>
        <v>317.15570400000001</v>
      </c>
      <c r="O16" s="46"/>
      <c r="P16" s="46">
        <f t="shared" si="5"/>
        <v>0.87410507941653171</v>
      </c>
      <c r="Q16" s="16">
        <f t="shared" si="6"/>
        <v>0.70776019968464865</v>
      </c>
    </row>
    <row r="17" spans="1:23" ht="14.5" x14ac:dyDescent="0.35">
      <c r="A17" s="75">
        <v>45444</v>
      </c>
      <c r="B17" s="42">
        <v>2396</v>
      </c>
      <c r="C17" s="1"/>
      <c r="D17" s="1"/>
      <c r="E17" s="1"/>
      <c r="F17" s="1">
        <v>1.2749999999999999</v>
      </c>
      <c r="G17" s="46">
        <v>2296</v>
      </c>
      <c r="H17" s="46"/>
      <c r="I17" s="46"/>
      <c r="J17" s="46">
        <v>677.3</v>
      </c>
      <c r="K17" s="46">
        <f t="shared" si="1"/>
        <v>3054.8999999999996</v>
      </c>
      <c r="L17" s="46">
        <f t="shared" si="2"/>
        <v>2072.1099999999997</v>
      </c>
      <c r="M17" s="46">
        <f t="shared" si="3"/>
        <v>305.48999999999995</v>
      </c>
      <c r="N17" s="46">
        <f t="shared" si="4"/>
        <v>305.48999999999995</v>
      </c>
      <c r="O17" s="46"/>
      <c r="P17" s="46">
        <f t="shared" si="5"/>
        <v>0.90248693379790923</v>
      </c>
      <c r="Q17" s="16">
        <f t="shared" si="6"/>
        <v>0.70783288925326215</v>
      </c>
    </row>
    <row r="18" spans="1:23" ht="14.5" x14ac:dyDescent="0.35">
      <c r="A18" s="75">
        <v>45474</v>
      </c>
      <c r="B18" s="42">
        <v>2092</v>
      </c>
      <c r="C18" s="1">
        <v>0.40549000000000002</v>
      </c>
      <c r="D18" s="1">
        <v>0.85709999999999997</v>
      </c>
      <c r="E18" s="1">
        <v>1.6490000000000001E-2</v>
      </c>
      <c r="F18" s="1">
        <f>C18+D18</f>
        <v>1.2625899999999999</v>
      </c>
      <c r="G18" s="46">
        <f t="shared" ref="G18:G32" si="8">H18+I18</f>
        <v>1991</v>
      </c>
      <c r="H18" s="46">
        <v>1768</v>
      </c>
      <c r="I18" s="46">
        <v>223</v>
      </c>
      <c r="J18" s="46">
        <v>612.17999999999995</v>
      </c>
      <c r="K18" s="46">
        <f t="shared" si="1"/>
        <v>2641.3382799999999</v>
      </c>
      <c r="L18" s="46">
        <f t="shared" ref="L18:L32" si="9">90%*K18-J18-O18</f>
        <v>1730.527372</v>
      </c>
      <c r="M18" s="46">
        <f t="shared" si="3"/>
        <v>298.63090799999998</v>
      </c>
      <c r="N18" s="46">
        <f t="shared" si="4"/>
        <v>264.13382799999999</v>
      </c>
      <c r="O18" s="46">
        <f>B18*E18</f>
        <v>34.497080000000004</v>
      </c>
      <c r="P18" s="46">
        <f t="shared" si="5"/>
        <v>0.86917497338021099</v>
      </c>
      <c r="Q18" s="16">
        <f t="shared" si="6"/>
        <v>0.68840634994749761</v>
      </c>
      <c r="T18" s="7"/>
      <c r="U18" s="7"/>
      <c r="W18" s="7"/>
    </row>
    <row r="19" spans="1:23" ht="14.5" x14ac:dyDescent="0.35">
      <c r="A19" s="75">
        <v>45505</v>
      </c>
      <c r="B19" s="42">
        <v>2125</v>
      </c>
      <c r="C19" s="1">
        <v>0.40061999999999998</v>
      </c>
      <c r="D19" s="1">
        <v>0.84679000000000004</v>
      </c>
      <c r="E19" s="1">
        <v>9.6500000000000006E-3</v>
      </c>
      <c r="F19" s="1">
        <f t="shared" ref="F19:F32" si="10">C19+D19+E19</f>
        <v>1.2570599999999998</v>
      </c>
      <c r="G19" s="46">
        <f t="shared" si="8"/>
        <v>2025</v>
      </c>
      <c r="H19" s="46">
        <f>416+1233+2</f>
        <v>1651</v>
      </c>
      <c r="I19" s="46">
        <v>374</v>
      </c>
      <c r="J19" s="46">
        <v>608</v>
      </c>
      <c r="K19" s="46">
        <f t="shared" si="1"/>
        <v>2671.2524999999996</v>
      </c>
      <c r="L19" s="46">
        <f t="shared" si="9"/>
        <v>1776.5859999999996</v>
      </c>
      <c r="M19" s="46">
        <f t="shared" si="3"/>
        <v>286.66649999999998</v>
      </c>
      <c r="N19" s="46">
        <f t="shared" si="4"/>
        <v>267.12524999999999</v>
      </c>
      <c r="O19" s="46">
        <f t="shared" ref="O19:O32" si="11">G19*E19</f>
        <v>19.541250000000002</v>
      </c>
      <c r="P19" s="46">
        <f t="shared" si="5"/>
        <v>0.87732641975308623</v>
      </c>
      <c r="Q19" s="16">
        <f t="shared" si="6"/>
        <v>0.69791928766573297</v>
      </c>
    </row>
    <row r="20" spans="1:23" ht="14.5" x14ac:dyDescent="0.35">
      <c r="A20" s="75">
        <v>45536</v>
      </c>
      <c r="B20" s="42">
        <v>2603</v>
      </c>
      <c r="C20" s="1">
        <v>0.40803</v>
      </c>
      <c r="D20" s="1">
        <v>0.86246</v>
      </c>
      <c r="E20" s="1">
        <v>3.9329999999999997E-2</v>
      </c>
      <c r="F20" s="1">
        <f t="shared" si="10"/>
        <v>1.3098200000000002</v>
      </c>
      <c r="G20" s="46">
        <f t="shared" si="8"/>
        <v>2501</v>
      </c>
      <c r="H20" s="46">
        <f>829+1190</f>
        <v>2019</v>
      </c>
      <c r="I20" s="46">
        <v>482</v>
      </c>
      <c r="J20" s="46">
        <v>719.2</v>
      </c>
      <c r="K20" s="46">
        <f t="shared" si="1"/>
        <v>3409.4614600000004</v>
      </c>
      <c r="L20" s="46">
        <f t="shared" si="9"/>
        <v>2250.9509840000005</v>
      </c>
      <c r="M20" s="46">
        <f t="shared" si="3"/>
        <v>439.31047600000005</v>
      </c>
      <c r="N20" s="46">
        <f t="shared" si="4"/>
        <v>340.94614600000006</v>
      </c>
      <c r="O20" s="46">
        <f t="shared" si="11"/>
        <v>98.364329999999995</v>
      </c>
      <c r="P20" s="46">
        <f t="shared" si="5"/>
        <v>0.90002038544582186</v>
      </c>
      <c r="Q20" s="16">
        <f t="shared" si="6"/>
        <v>0.68713287737690809</v>
      </c>
    </row>
    <row r="21" spans="1:23" ht="15.75" customHeight="1" x14ac:dyDescent="0.35">
      <c r="A21" s="75">
        <v>45566</v>
      </c>
      <c r="B21" s="42">
        <v>2813</v>
      </c>
      <c r="C21" s="1">
        <v>0.40903</v>
      </c>
      <c r="D21" s="1">
        <v>0.86456</v>
      </c>
      <c r="E21" s="1">
        <v>9.3509999999999996E-2</v>
      </c>
      <c r="F21" s="1">
        <f t="shared" si="10"/>
        <v>1.3671</v>
      </c>
      <c r="G21" s="46">
        <f t="shared" si="8"/>
        <v>2712</v>
      </c>
      <c r="H21" s="46">
        <v>2293</v>
      </c>
      <c r="I21" s="46">
        <v>419</v>
      </c>
      <c r="J21" s="46">
        <v>772</v>
      </c>
      <c r="K21" s="46">
        <f t="shared" si="1"/>
        <v>3845.6522999999997</v>
      </c>
      <c r="L21" s="46">
        <f t="shared" si="9"/>
        <v>2435.4879500000002</v>
      </c>
      <c r="M21" s="46">
        <f t="shared" si="3"/>
        <v>638.16435000000001</v>
      </c>
      <c r="N21" s="46">
        <f t="shared" si="4"/>
        <v>384.56522999999999</v>
      </c>
      <c r="O21" s="46">
        <f t="shared" si="11"/>
        <v>253.59912</v>
      </c>
      <c r="P21" s="46">
        <f t="shared" si="5"/>
        <v>0.89804127949852519</v>
      </c>
      <c r="Q21" s="16">
        <f t="shared" si="6"/>
        <v>0.65689509143334446</v>
      </c>
    </row>
    <row r="22" spans="1:23" ht="15.75" customHeight="1" x14ac:dyDescent="0.35">
      <c r="A22" s="75">
        <v>45597</v>
      </c>
      <c r="B22" s="42">
        <v>2786</v>
      </c>
      <c r="C22" s="1">
        <v>0.40333999999999998</v>
      </c>
      <c r="D22" s="1">
        <v>0.85253999999999996</v>
      </c>
      <c r="E22" s="1">
        <f>0.03494+0.01756</f>
        <v>5.2499999999999998E-2</v>
      </c>
      <c r="F22" s="1">
        <f t="shared" si="10"/>
        <v>1.3083799999999999</v>
      </c>
      <c r="G22" s="46">
        <f t="shared" si="8"/>
        <v>2685</v>
      </c>
      <c r="H22" s="46">
        <f>803+1460</f>
        <v>2263</v>
      </c>
      <c r="I22" s="46">
        <v>422</v>
      </c>
      <c r="J22" s="46">
        <v>753.63</v>
      </c>
      <c r="K22" s="46">
        <f t="shared" si="1"/>
        <v>3645.1466799999998</v>
      </c>
      <c r="L22" s="46">
        <f t="shared" si="9"/>
        <v>2386.0395119999998</v>
      </c>
      <c r="M22" s="46">
        <f t="shared" si="3"/>
        <v>505.47716800000001</v>
      </c>
      <c r="N22" s="46">
        <f t="shared" si="4"/>
        <v>364.51466800000003</v>
      </c>
      <c r="O22" s="46">
        <f t="shared" si="11"/>
        <v>140.96250000000001</v>
      </c>
      <c r="P22" s="46">
        <f t="shared" si="5"/>
        <v>0.88865531173184353</v>
      </c>
      <c r="Q22" s="16">
        <f t="shared" si="6"/>
        <v>0.67920276351812436</v>
      </c>
    </row>
    <row r="23" spans="1:23" ht="15.75" customHeight="1" x14ac:dyDescent="0.35">
      <c r="A23" s="75">
        <v>45627</v>
      </c>
      <c r="B23" s="42">
        <v>2874</v>
      </c>
      <c r="C23" s="1">
        <v>0.40233000000000002</v>
      </c>
      <c r="D23" s="1">
        <v>0.85041</v>
      </c>
      <c r="E23" s="1">
        <v>8.6099999999999996E-3</v>
      </c>
      <c r="F23" s="1">
        <f t="shared" si="10"/>
        <v>1.26135</v>
      </c>
      <c r="G23" s="46">
        <f t="shared" si="8"/>
        <v>2772</v>
      </c>
      <c r="H23" s="46">
        <f>794+1507</f>
        <v>2301</v>
      </c>
      <c r="I23" s="46">
        <v>471</v>
      </c>
      <c r="J23" s="46">
        <v>751.3</v>
      </c>
      <c r="K23" s="46">
        <f t="shared" si="1"/>
        <v>3625.1199000000001</v>
      </c>
      <c r="L23" s="46">
        <f t="shared" si="9"/>
        <v>2487.4409900000005</v>
      </c>
      <c r="M23" s="46">
        <f t="shared" si="3"/>
        <v>386.37891000000002</v>
      </c>
      <c r="N23" s="46">
        <f t="shared" si="4"/>
        <v>362.51199000000003</v>
      </c>
      <c r="O23" s="46">
        <f t="shared" si="11"/>
        <v>23.86692</v>
      </c>
      <c r="P23" s="46">
        <f t="shared" si="5"/>
        <v>0.89734523448773462</v>
      </c>
      <c r="Q23" s="16">
        <f t="shared" si="6"/>
        <v>0.71141652553829993</v>
      </c>
    </row>
    <row r="24" spans="1:23" ht="15.75" customHeight="1" x14ac:dyDescent="0.35">
      <c r="A24" s="75">
        <v>45658</v>
      </c>
      <c r="B24" s="42">
        <v>3293</v>
      </c>
      <c r="C24" s="1">
        <v>0.41266000000000003</v>
      </c>
      <c r="D24" s="1">
        <v>0.87224000000000002</v>
      </c>
      <c r="E24" s="1">
        <v>0</v>
      </c>
      <c r="F24" s="1">
        <f t="shared" si="10"/>
        <v>1.2848999999999999</v>
      </c>
      <c r="G24" s="46">
        <f t="shared" si="8"/>
        <v>3193</v>
      </c>
      <c r="H24" s="46">
        <v>2596.5</v>
      </c>
      <c r="I24" s="46">
        <v>596.5</v>
      </c>
      <c r="J24" s="46">
        <v>859.31</v>
      </c>
      <c r="K24" s="46">
        <f t="shared" si="1"/>
        <v>4231.1756999999998</v>
      </c>
      <c r="L24" s="46">
        <f t="shared" si="9"/>
        <v>2948.7481299999999</v>
      </c>
      <c r="M24" s="46">
        <f t="shared" si="3"/>
        <v>423.11757</v>
      </c>
      <c r="N24" s="46">
        <f t="shared" si="4"/>
        <v>423.11757</v>
      </c>
      <c r="O24" s="46">
        <f t="shared" si="11"/>
        <v>0</v>
      </c>
      <c r="P24" s="46">
        <f t="shared" si="5"/>
        <v>0.92350395552771691</v>
      </c>
      <c r="Q24" s="16">
        <f t="shared" si="6"/>
        <v>0.71873605380007544</v>
      </c>
    </row>
    <row r="25" spans="1:23" ht="15.75" customHeight="1" x14ac:dyDescent="0.35">
      <c r="A25" s="75">
        <v>45689</v>
      </c>
      <c r="B25" s="42">
        <v>3441</v>
      </c>
      <c r="C25" s="1">
        <v>0.41478999999999999</v>
      </c>
      <c r="D25" s="1">
        <v>0.87675000000000003</v>
      </c>
      <c r="E25" s="1">
        <v>0</v>
      </c>
      <c r="F25" s="1">
        <f t="shared" si="10"/>
        <v>1.2915399999999999</v>
      </c>
      <c r="G25" s="46">
        <f t="shared" si="8"/>
        <v>3340</v>
      </c>
      <c r="H25" s="46">
        <f>2307+385</f>
        <v>2692</v>
      </c>
      <c r="I25" s="46">
        <v>648</v>
      </c>
      <c r="J25" s="46">
        <v>891.18</v>
      </c>
      <c r="K25" s="46">
        <f t="shared" si="1"/>
        <v>4444.1891399999995</v>
      </c>
      <c r="L25" s="46">
        <f t="shared" si="9"/>
        <v>3108.5902259999998</v>
      </c>
      <c r="M25" s="46">
        <f t="shared" si="3"/>
        <v>444.41891399999997</v>
      </c>
      <c r="N25" s="46">
        <f t="shared" si="4"/>
        <v>444.41891399999997</v>
      </c>
      <c r="O25" s="46">
        <f t="shared" si="11"/>
        <v>0</v>
      </c>
      <c r="P25" s="46">
        <f t="shared" si="5"/>
        <v>0.930715636526946</v>
      </c>
      <c r="Q25" s="16">
        <f t="shared" si="6"/>
        <v>0.72062470889554031</v>
      </c>
    </row>
    <row r="26" spans="1:23" ht="15.75" customHeight="1" x14ac:dyDescent="0.35">
      <c r="A26" s="75">
        <v>45717</v>
      </c>
      <c r="B26" s="42">
        <v>3026</v>
      </c>
      <c r="C26" s="1">
        <v>0.38768000000000002</v>
      </c>
      <c r="D26" s="1">
        <v>0.82310000000000005</v>
      </c>
      <c r="E26" s="1">
        <v>0</v>
      </c>
      <c r="F26" s="1">
        <f t="shared" si="10"/>
        <v>1.2107800000000002</v>
      </c>
      <c r="G26" s="46">
        <f t="shared" si="8"/>
        <v>2925</v>
      </c>
      <c r="H26" s="46">
        <v>2334</v>
      </c>
      <c r="I26" s="46">
        <v>591</v>
      </c>
      <c r="J26" s="46">
        <v>758.06</v>
      </c>
      <c r="K26" s="46">
        <f t="shared" si="1"/>
        <v>3663.8202800000004</v>
      </c>
      <c r="L26" s="46">
        <f t="shared" si="9"/>
        <v>2539.3782520000004</v>
      </c>
      <c r="M26" s="46">
        <f t="shared" si="3"/>
        <v>366.38202800000005</v>
      </c>
      <c r="N26" s="46">
        <f t="shared" si="4"/>
        <v>366.38202800000005</v>
      </c>
      <c r="O26" s="46">
        <f t="shared" si="11"/>
        <v>0</v>
      </c>
      <c r="P26" s="46">
        <f t="shared" si="5"/>
        <v>0.86816350495726513</v>
      </c>
      <c r="Q26" s="16">
        <f t="shared" si="6"/>
        <v>0.71702828338530944</v>
      </c>
    </row>
    <row r="27" spans="1:23" ht="15.75" customHeight="1" x14ac:dyDescent="0.35">
      <c r="A27" s="75">
        <v>45748</v>
      </c>
      <c r="B27" s="42">
        <v>2633</v>
      </c>
      <c r="C27" s="1">
        <v>0.3947</v>
      </c>
      <c r="D27" s="1">
        <v>0.85016000000000003</v>
      </c>
      <c r="E27" s="1">
        <v>0</v>
      </c>
      <c r="F27" s="1">
        <f t="shared" si="10"/>
        <v>1.2448600000000001</v>
      </c>
      <c r="G27" s="46">
        <f t="shared" si="8"/>
        <v>2533</v>
      </c>
      <c r="H27" s="46">
        <f>958+1268+2</f>
        <v>2228</v>
      </c>
      <c r="I27" s="46">
        <f>305</f>
        <v>305</v>
      </c>
      <c r="J27" s="46">
        <v>700.51</v>
      </c>
      <c r="K27" s="46">
        <f t="shared" si="1"/>
        <v>3277.7163800000003</v>
      </c>
      <c r="L27" s="46">
        <f t="shared" si="9"/>
        <v>2249.4347420000004</v>
      </c>
      <c r="M27" s="46">
        <f t="shared" si="3"/>
        <v>327.77163800000005</v>
      </c>
      <c r="N27" s="46">
        <f t="shared" si="4"/>
        <v>327.77163800000005</v>
      </c>
      <c r="O27" s="46">
        <f t="shared" si="11"/>
        <v>0</v>
      </c>
      <c r="P27" s="46">
        <f t="shared" si="5"/>
        <v>0.88805161547572065</v>
      </c>
      <c r="Q27" s="16">
        <f t="shared" si="6"/>
        <v>0.71337468910216462</v>
      </c>
    </row>
    <row r="28" spans="1:23" ht="15.75" customHeight="1" x14ac:dyDescent="0.35">
      <c r="A28" s="75">
        <v>45778</v>
      </c>
      <c r="B28" s="42">
        <v>2454</v>
      </c>
      <c r="C28" s="1">
        <v>0.41709000000000002</v>
      </c>
      <c r="D28" s="1">
        <v>0.89837999999999996</v>
      </c>
      <c r="E28" s="1">
        <v>1.728E-2</v>
      </c>
      <c r="F28" s="1">
        <f t="shared" si="10"/>
        <v>1.3327499999999999</v>
      </c>
      <c r="G28" s="46">
        <f t="shared" si="8"/>
        <v>2354</v>
      </c>
      <c r="H28" s="46">
        <f>1228+795+2</f>
        <v>2025</v>
      </c>
      <c r="I28" s="46">
        <v>329</v>
      </c>
      <c r="J28" s="46">
        <v>700.01</v>
      </c>
      <c r="K28" s="46">
        <f t="shared" si="1"/>
        <v>3270.5684999999999</v>
      </c>
      <c r="L28" s="46">
        <f t="shared" si="9"/>
        <v>2202.8245300000003</v>
      </c>
      <c r="M28" s="46">
        <f t="shared" si="3"/>
        <v>367.73397</v>
      </c>
      <c r="N28" s="46">
        <f t="shared" si="4"/>
        <v>327.05685</v>
      </c>
      <c r="O28" s="46">
        <f t="shared" si="11"/>
        <v>40.677120000000002</v>
      </c>
      <c r="P28" s="46">
        <f t="shared" si="5"/>
        <v>0.93577932455395085</v>
      </c>
      <c r="Q28" s="16">
        <f t="shared" si="6"/>
        <v>0.70214168040063851</v>
      </c>
    </row>
    <row r="29" spans="1:23" ht="15.75" customHeight="1" x14ac:dyDescent="0.35">
      <c r="A29" s="75">
        <v>45809</v>
      </c>
      <c r="B29" s="42">
        <v>2331</v>
      </c>
      <c r="C29" s="1">
        <v>0.41424</v>
      </c>
      <c r="D29" s="1">
        <v>0.89220999999999995</v>
      </c>
      <c r="E29" s="1">
        <f>0.04064+0.00944</f>
        <v>5.008E-2</v>
      </c>
      <c r="F29" s="1">
        <f t="shared" si="10"/>
        <v>1.3565299999999998</v>
      </c>
      <c r="G29" s="46">
        <f t="shared" si="8"/>
        <v>2231</v>
      </c>
      <c r="H29" s="46">
        <v>2231</v>
      </c>
      <c r="I29" s="46">
        <v>0</v>
      </c>
      <c r="J29" s="46">
        <v>672.55</v>
      </c>
      <c r="K29" s="46">
        <f t="shared" si="1"/>
        <v>3162.0714299999995</v>
      </c>
      <c r="L29" s="46">
        <f t="shared" si="9"/>
        <v>2061.585806999999</v>
      </c>
      <c r="M29" s="46">
        <f t="shared" si="3"/>
        <v>427.93562299999996</v>
      </c>
      <c r="N29" s="46">
        <f t="shared" si="4"/>
        <v>316.20714299999997</v>
      </c>
      <c r="O29" s="46">
        <f t="shared" si="11"/>
        <v>111.72848</v>
      </c>
      <c r="P29" s="46">
        <f t="shared" si="5"/>
        <v>0.92406356207978446</v>
      </c>
      <c r="Q29" s="16">
        <f t="shared" si="6"/>
        <v>0.68119655450287464</v>
      </c>
    </row>
    <row r="30" spans="1:23" ht="15.75" customHeight="1" x14ac:dyDescent="0.35">
      <c r="A30" s="75">
        <v>45839</v>
      </c>
      <c r="B30" s="42">
        <v>2150</v>
      </c>
      <c r="C30" s="1">
        <v>0.40600000000000003</v>
      </c>
      <c r="D30" s="1">
        <v>0.87448000000000004</v>
      </c>
      <c r="E30" s="1">
        <v>6.1740000000000003E-2</v>
      </c>
      <c r="F30" s="1">
        <f t="shared" si="10"/>
        <v>1.34222</v>
      </c>
      <c r="G30" s="46">
        <f t="shared" si="8"/>
        <v>2070</v>
      </c>
      <c r="H30" s="46">
        <v>2070</v>
      </c>
      <c r="I30" s="46">
        <v>0</v>
      </c>
      <c r="J30" s="46">
        <v>601.07000000000005</v>
      </c>
      <c r="K30" s="46">
        <f t="shared" si="1"/>
        <v>2885.7730000000001</v>
      </c>
      <c r="L30" s="46">
        <f t="shared" si="9"/>
        <v>1868.3239000000001</v>
      </c>
      <c r="M30" s="46">
        <f t="shared" si="3"/>
        <v>416.37910000000005</v>
      </c>
      <c r="N30" s="46">
        <f t="shared" si="4"/>
        <v>288.57730000000004</v>
      </c>
      <c r="O30" s="46">
        <f t="shared" si="11"/>
        <v>127.8018</v>
      </c>
      <c r="P30" s="46">
        <f t="shared" si="5"/>
        <v>0.90257193236714983</v>
      </c>
      <c r="Q30" s="16">
        <f t="shared" si="6"/>
        <v>0.67244708942434905</v>
      </c>
    </row>
    <row r="31" spans="1:23" ht="15.75" customHeight="1" x14ac:dyDescent="0.35">
      <c r="A31" s="75">
        <v>45870</v>
      </c>
      <c r="B31" s="42">
        <v>2139</v>
      </c>
      <c r="C31" s="1">
        <v>0.39746999999999999</v>
      </c>
      <c r="D31" s="1">
        <v>0.85611000000000004</v>
      </c>
      <c r="E31" s="1">
        <v>9.1270000000000004E-2</v>
      </c>
      <c r="F31" s="1">
        <f t="shared" si="10"/>
        <v>1.3448499999999999</v>
      </c>
      <c r="G31" s="46">
        <f t="shared" si="8"/>
        <v>2039</v>
      </c>
      <c r="H31" s="46">
        <v>2039</v>
      </c>
      <c r="I31" s="46">
        <v>0</v>
      </c>
      <c r="J31" s="46">
        <v>602.79999999999995</v>
      </c>
      <c r="K31" s="46">
        <f t="shared" si="1"/>
        <v>2876.6341499999999</v>
      </c>
      <c r="L31" s="46">
        <f t="shared" si="9"/>
        <v>1800.071205</v>
      </c>
      <c r="M31" s="46">
        <f t="shared" si="3"/>
        <v>473.762945</v>
      </c>
      <c r="N31" s="46">
        <f t="shared" si="4"/>
        <v>287.66341499999999</v>
      </c>
      <c r="O31" s="46">
        <f t="shared" si="11"/>
        <v>186.09953000000002</v>
      </c>
      <c r="P31" s="46">
        <f t="shared" si="5"/>
        <v>0.88282060078469837</v>
      </c>
      <c r="Q31" s="16">
        <f t="shared" si="6"/>
        <v>0.6564454034165137</v>
      </c>
    </row>
    <row r="32" spans="1:23" ht="15.75" customHeight="1" x14ac:dyDescent="0.35">
      <c r="A32" s="75">
        <v>45901</v>
      </c>
      <c r="B32" s="42">
        <v>2314</v>
      </c>
      <c r="C32" s="1">
        <v>0.41139999999999999</v>
      </c>
      <c r="D32" s="1">
        <v>0.88619999999999999</v>
      </c>
      <c r="E32" s="1">
        <v>0.11045000000000001</v>
      </c>
      <c r="F32" s="1">
        <f t="shared" si="10"/>
        <v>1.40805</v>
      </c>
      <c r="G32" s="46">
        <f t="shared" si="8"/>
        <v>2214</v>
      </c>
      <c r="H32" s="46">
        <v>2214</v>
      </c>
      <c r="I32" s="46">
        <v>0</v>
      </c>
      <c r="J32" s="46">
        <v>670.92</v>
      </c>
      <c r="K32" s="46">
        <f t="shared" si="1"/>
        <v>3258.2276999999999</v>
      </c>
      <c r="L32" s="46">
        <f t="shared" si="9"/>
        <v>2016.9486300000001</v>
      </c>
      <c r="M32" s="46">
        <f t="shared" si="3"/>
        <v>570.35906999999997</v>
      </c>
      <c r="N32" s="46">
        <f t="shared" si="4"/>
        <v>325.82276999999999</v>
      </c>
      <c r="O32" s="46">
        <f t="shared" si="11"/>
        <v>244.53630000000001</v>
      </c>
      <c r="P32" s="46">
        <f t="shared" si="5"/>
        <v>0.91099757452574526</v>
      </c>
      <c r="Q32" s="16">
        <f t="shared" si="6"/>
        <v>0.6469923472360678</v>
      </c>
    </row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511811024" right="0.511811024" top="0.78740157499999996" bottom="0.78740157499999996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12"/>
  <dimension ref="A1:AM999"/>
  <sheetViews>
    <sheetView tabSelected="1" topLeftCell="X1" zoomScale="57" zoomScaleNormal="57" workbookViewId="0">
      <selection activeCell="AP15" sqref="AP15"/>
    </sheetView>
  </sheetViews>
  <sheetFormatPr defaultColWidth="14.453125" defaultRowHeight="15" customHeight="1" x14ac:dyDescent="0.35"/>
  <cols>
    <col min="1" max="1" width="17.26953125" customWidth="1"/>
    <col min="2" max="2" width="15.26953125" customWidth="1"/>
    <col min="3" max="3" width="8" customWidth="1"/>
    <col min="4" max="4" width="9.1796875" bestFit="1" customWidth="1"/>
    <col min="5" max="6" width="9.1796875" customWidth="1"/>
    <col min="7" max="7" width="10.1796875" customWidth="1"/>
    <col min="8" max="9" width="15" customWidth="1"/>
    <col min="10" max="10" width="23.7265625" customWidth="1"/>
    <col min="11" max="11" width="19.7265625" customWidth="1"/>
    <col min="12" max="12" width="27" customWidth="1"/>
    <col min="13" max="14" width="15" customWidth="1"/>
    <col min="15" max="15" width="9.453125" customWidth="1"/>
    <col min="16" max="16" width="15" customWidth="1"/>
    <col min="17" max="17" width="18.1796875" customWidth="1"/>
    <col min="18" max="18" width="17.54296875" customWidth="1"/>
    <col min="19" max="19" width="22" customWidth="1"/>
    <col min="20" max="20" width="26.26953125" customWidth="1"/>
    <col min="21" max="21" width="8.7265625" customWidth="1"/>
    <col min="22" max="22" width="16.81640625" customWidth="1"/>
    <col min="23" max="23" width="8.7265625" customWidth="1"/>
    <col min="33" max="33" width="25.90625" bestFit="1" customWidth="1"/>
  </cols>
  <sheetData>
    <row r="1" spans="1:37" ht="14.5" x14ac:dyDescent="0.35">
      <c r="A1" s="3" t="s">
        <v>75</v>
      </c>
      <c r="B1" s="3" t="s">
        <v>179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175</v>
      </c>
      <c r="H1" s="3" t="s">
        <v>233</v>
      </c>
      <c r="I1" s="3" t="s">
        <v>234</v>
      </c>
      <c r="J1" s="3" t="s">
        <v>201</v>
      </c>
      <c r="K1" s="3" t="s">
        <v>202</v>
      </c>
      <c r="L1" s="3" t="s">
        <v>203</v>
      </c>
      <c r="M1" s="3" t="s">
        <v>183</v>
      </c>
      <c r="N1" s="3" t="s">
        <v>235</v>
      </c>
      <c r="O1" s="3" t="s">
        <v>184</v>
      </c>
      <c r="P1" s="3" t="s">
        <v>185</v>
      </c>
      <c r="Q1" s="3" t="s">
        <v>204</v>
      </c>
      <c r="R1" s="3" t="s">
        <v>205</v>
      </c>
      <c r="S1" s="3" t="s">
        <v>206</v>
      </c>
      <c r="T1" s="3" t="s">
        <v>196</v>
      </c>
      <c r="V1" s="12" t="s">
        <v>207</v>
      </c>
      <c r="AG1" s="118" t="s">
        <v>248</v>
      </c>
      <c r="AK1" s="125">
        <f ca="1">TODAY()+10</f>
        <v>46288</v>
      </c>
    </row>
    <row r="2" spans="1:37" ht="14.5" x14ac:dyDescent="0.35">
      <c r="A2" s="75">
        <v>44986</v>
      </c>
      <c r="B2" s="77">
        <v>1750</v>
      </c>
      <c r="C2" s="5"/>
      <c r="D2" s="5"/>
      <c r="E2" s="5"/>
      <c r="F2" s="5"/>
      <c r="G2" s="5"/>
      <c r="H2" s="64">
        <v>1.11225</v>
      </c>
      <c r="I2" s="64"/>
      <c r="J2" s="78">
        <f t="shared" ref="J2:J42" si="0">K2+L2</f>
        <v>1650</v>
      </c>
      <c r="K2" s="79">
        <v>0</v>
      </c>
      <c r="L2" s="79">
        <v>1650</v>
      </c>
      <c r="M2" s="79">
        <v>397.33</v>
      </c>
      <c r="N2" s="115">
        <v>0.1</v>
      </c>
      <c r="O2" s="78">
        <f t="shared" ref="O2:O42" si="1">B2*H2</f>
        <v>1946.4375</v>
      </c>
      <c r="P2" s="78">
        <f t="shared" ref="P2:P17" si="2">90%*O2-M2</f>
        <v>1354.4637500000001</v>
      </c>
      <c r="Q2" s="78">
        <f t="shared" ref="Q2:Q26" si="3">SUM(R2:S2)</f>
        <v>194.64375000000001</v>
      </c>
      <c r="R2" s="78">
        <f t="shared" ref="R2:R17" si="4">O2*0.1</f>
        <v>194.64375000000001</v>
      </c>
      <c r="S2" s="78"/>
      <c r="T2" s="78">
        <f t="shared" ref="T2:T42" si="5">P2/J2</f>
        <v>0.82088712121212126</v>
      </c>
      <c r="AG2" s="118" t="s">
        <v>249</v>
      </c>
      <c r="AH2" s="126" t="s">
        <v>250</v>
      </c>
    </row>
    <row r="3" spans="1:37" ht="14.5" x14ac:dyDescent="0.35">
      <c r="A3" s="75">
        <v>45017</v>
      </c>
      <c r="B3" s="77">
        <v>1410</v>
      </c>
      <c r="C3" s="80"/>
      <c r="D3" s="80"/>
      <c r="E3" s="80"/>
      <c r="F3" s="80"/>
      <c r="G3" s="80"/>
      <c r="H3" s="64">
        <v>1.1946700000000001</v>
      </c>
      <c r="I3" s="64"/>
      <c r="J3" s="78">
        <f t="shared" si="0"/>
        <v>1310</v>
      </c>
      <c r="K3" s="79">
        <v>1310</v>
      </c>
      <c r="L3" s="79">
        <v>0</v>
      </c>
      <c r="M3" s="79">
        <v>426.57</v>
      </c>
      <c r="N3" s="115">
        <v>0.1</v>
      </c>
      <c r="O3" s="78">
        <f t="shared" si="1"/>
        <v>1684.4847000000002</v>
      </c>
      <c r="P3" s="78">
        <f t="shared" si="2"/>
        <v>1089.4662300000002</v>
      </c>
      <c r="Q3" s="78">
        <f t="shared" si="3"/>
        <v>168.44847000000004</v>
      </c>
      <c r="R3" s="78">
        <f t="shared" si="4"/>
        <v>168.44847000000004</v>
      </c>
      <c r="S3" s="78"/>
      <c r="T3" s="78">
        <f t="shared" si="5"/>
        <v>0.83165361068702304</v>
      </c>
      <c r="AH3" s="127" t="s">
        <v>251</v>
      </c>
    </row>
    <row r="4" spans="1:37" ht="14.5" x14ac:dyDescent="0.35">
      <c r="A4" s="75">
        <v>45047</v>
      </c>
      <c r="B4" s="77">
        <v>1290</v>
      </c>
      <c r="C4" s="80"/>
      <c r="D4" s="80"/>
      <c r="E4" s="80"/>
      <c r="F4" s="80"/>
      <c r="G4" s="80"/>
      <c r="H4" s="64">
        <v>1.1634</v>
      </c>
      <c r="I4" s="64"/>
      <c r="J4" s="78">
        <f t="shared" si="0"/>
        <v>1190</v>
      </c>
      <c r="K4" s="79">
        <v>1190</v>
      </c>
      <c r="L4" s="79">
        <v>0</v>
      </c>
      <c r="M4" s="79">
        <v>397.11</v>
      </c>
      <c r="N4" s="115">
        <v>0.1</v>
      </c>
      <c r="O4" s="78">
        <f t="shared" si="1"/>
        <v>1500.7860000000001</v>
      </c>
      <c r="P4" s="78">
        <f t="shared" si="2"/>
        <v>953.59739999999999</v>
      </c>
      <c r="Q4" s="78">
        <f t="shared" si="3"/>
        <v>150.07860000000002</v>
      </c>
      <c r="R4" s="78">
        <f t="shared" si="4"/>
        <v>150.07860000000002</v>
      </c>
      <c r="S4" s="78"/>
      <c r="T4" s="78">
        <f t="shared" si="5"/>
        <v>0.80134235294117651</v>
      </c>
      <c r="AH4" s="127" t="s">
        <v>252</v>
      </c>
    </row>
    <row r="5" spans="1:37" ht="14.5" x14ac:dyDescent="0.35">
      <c r="A5" s="75">
        <v>45078</v>
      </c>
      <c r="B5" s="77">
        <v>1100</v>
      </c>
      <c r="C5" s="5"/>
      <c r="D5" s="5"/>
      <c r="E5" s="5"/>
      <c r="F5" s="5"/>
      <c r="G5" s="5"/>
      <c r="H5" s="64">
        <v>1.2134</v>
      </c>
      <c r="I5" s="64"/>
      <c r="J5" s="78">
        <f t="shared" si="0"/>
        <v>1000</v>
      </c>
      <c r="K5" s="79">
        <v>1000</v>
      </c>
      <c r="L5" s="79">
        <v>0</v>
      </c>
      <c r="M5" s="79">
        <v>533.48</v>
      </c>
      <c r="N5" s="115">
        <v>0.1</v>
      </c>
      <c r="O5" s="78">
        <f t="shared" si="1"/>
        <v>1334.74</v>
      </c>
      <c r="P5" s="78">
        <f t="shared" si="2"/>
        <v>667.78600000000006</v>
      </c>
      <c r="Q5" s="78">
        <f t="shared" si="3"/>
        <v>133.47400000000002</v>
      </c>
      <c r="R5" s="78">
        <f t="shared" si="4"/>
        <v>133.47400000000002</v>
      </c>
      <c r="S5" s="78"/>
      <c r="T5" s="78">
        <f t="shared" si="5"/>
        <v>0.6677860000000001</v>
      </c>
    </row>
    <row r="6" spans="1:37" ht="14.5" x14ac:dyDescent="0.35">
      <c r="A6" s="75">
        <v>45108</v>
      </c>
      <c r="B6" s="77">
        <v>1090</v>
      </c>
      <c r="C6" s="5"/>
      <c r="D6" s="5"/>
      <c r="E6" s="5"/>
      <c r="F6" s="5"/>
      <c r="G6" s="5"/>
      <c r="H6" s="64">
        <v>1.2030000000000001</v>
      </c>
      <c r="I6" s="64"/>
      <c r="J6" s="78">
        <f t="shared" si="0"/>
        <v>990</v>
      </c>
      <c r="K6" s="79">
        <v>990</v>
      </c>
      <c r="L6" s="79">
        <v>0</v>
      </c>
      <c r="M6" s="79">
        <v>379.36</v>
      </c>
      <c r="N6" s="115">
        <v>0.1</v>
      </c>
      <c r="O6" s="78">
        <f t="shared" si="1"/>
        <v>1311.27</v>
      </c>
      <c r="P6" s="78">
        <f t="shared" si="2"/>
        <v>800.78300000000002</v>
      </c>
      <c r="Q6" s="78">
        <f t="shared" si="3"/>
        <v>131.12700000000001</v>
      </c>
      <c r="R6" s="78">
        <f t="shared" si="4"/>
        <v>131.12700000000001</v>
      </c>
      <c r="S6" s="78"/>
      <c r="T6" s="78">
        <f t="shared" si="5"/>
        <v>0.80887171717171724</v>
      </c>
      <c r="AG6" s="118" t="s">
        <v>237</v>
      </c>
      <c r="AH6" s="118" t="s">
        <v>49</v>
      </c>
      <c r="AI6" s="118" t="s">
        <v>246</v>
      </c>
      <c r="AJ6" s="118" t="s">
        <v>244</v>
      </c>
      <c r="AK6" s="118" t="s">
        <v>245</v>
      </c>
    </row>
    <row r="7" spans="1:37" ht="14.5" x14ac:dyDescent="0.35">
      <c r="A7" s="75">
        <v>45139</v>
      </c>
      <c r="B7" s="77">
        <v>1150</v>
      </c>
      <c r="C7" s="5"/>
      <c r="D7" s="5"/>
      <c r="E7" s="5"/>
      <c r="F7" s="5"/>
      <c r="G7" s="5"/>
      <c r="H7" s="64">
        <v>1.18275</v>
      </c>
      <c r="I7" s="64"/>
      <c r="J7" s="78">
        <f t="shared" si="0"/>
        <v>1050</v>
      </c>
      <c r="K7" s="79">
        <v>1050</v>
      </c>
      <c r="L7" s="79">
        <v>0</v>
      </c>
      <c r="M7" s="79">
        <v>378.27</v>
      </c>
      <c r="N7" s="115">
        <v>0.1</v>
      </c>
      <c r="O7" s="78">
        <f t="shared" si="1"/>
        <v>1360.1624999999999</v>
      </c>
      <c r="P7" s="78">
        <f t="shared" si="2"/>
        <v>845.87625000000003</v>
      </c>
      <c r="Q7" s="78">
        <f t="shared" si="3"/>
        <v>136.01624999999999</v>
      </c>
      <c r="R7" s="78">
        <f t="shared" si="4"/>
        <v>136.01624999999999</v>
      </c>
      <c r="S7" s="78"/>
      <c r="T7" s="78">
        <f t="shared" si="5"/>
        <v>0.80559642857142855</v>
      </c>
      <c r="AH7" s="118"/>
    </row>
    <row r="8" spans="1:37" ht="14.5" x14ac:dyDescent="0.35">
      <c r="A8" s="75">
        <v>45170</v>
      </c>
      <c r="B8" s="77">
        <v>1210</v>
      </c>
      <c r="C8" s="5"/>
      <c r="D8" s="5"/>
      <c r="E8" s="5"/>
      <c r="F8" s="5"/>
      <c r="G8" s="5"/>
      <c r="H8" s="64">
        <v>1.2210000000000001</v>
      </c>
      <c r="I8" s="64"/>
      <c r="J8" s="78">
        <f t="shared" si="0"/>
        <v>1110</v>
      </c>
      <c r="K8" s="79">
        <v>1110</v>
      </c>
      <c r="L8" s="79">
        <v>0</v>
      </c>
      <c r="M8" s="79">
        <v>398.61</v>
      </c>
      <c r="N8" s="115">
        <v>0.1</v>
      </c>
      <c r="O8" s="78">
        <f t="shared" si="1"/>
        <v>1477.41</v>
      </c>
      <c r="P8" s="78">
        <f t="shared" si="2"/>
        <v>931.05900000000008</v>
      </c>
      <c r="Q8" s="78">
        <f t="shared" si="3"/>
        <v>147.74100000000001</v>
      </c>
      <c r="R8" s="78">
        <f t="shared" si="4"/>
        <v>147.74100000000001</v>
      </c>
      <c r="S8" s="78"/>
      <c r="T8" s="78">
        <f t="shared" si="5"/>
        <v>0.83879189189189196</v>
      </c>
      <c r="AG8" s="119" t="s">
        <v>236</v>
      </c>
      <c r="AH8" s="119" t="s">
        <v>241</v>
      </c>
      <c r="AI8" s="120">
        <f>J43</f>
        <v>2347</v>
      </c>
      <c r="AJ8" s="121">
        <f>I43</f>
        <v>1.2047600000000001</v>
      </c>
      <c r="AK8" s="120">
        <f>SUM(P43,Q43)</f>
        <v>2887.7487999999998</v>
      </c>
    </row>
    <row r="9" spans="1:37" ht="14.5" x14ac:dyDescent="0.35">
      <c r="A9" s="75">
        <v>45200</v>
      </c>
      <c r="B9" s="77">
        <v>1140</v>
      </c>
      <c r="C9" s="5"/>
      <c r="D9" s="5"/>
      <c r="E9" s="5"/>
      <c r="F9" s="5"/>
      <c r="G9" s="5"/>
      <c r="H9" s="64">
        <v>1.18716</v>
      </c>
      <c r="I9" s="64"/>
      <c r="J9" s="78">
        <f t="shared" si="0"/>
        <v>1040</v>
      </c>
      <c r="K9" s="79">
        <v>1040</v>
      </c>
      <c r="L9" s="79">
        <v>0</v>
      </c>
      <c r="M9" s="79">
        <v>377.64</v>
      </c>
      <c r="N9" s="115">
        <v>0.1</v>
      </c>
      <c r="O9" s="78">
        <f t="shared" si="1"/>
        <v>1353.3624</v>
      </c>
      <c r="P9" s="78">
        <f t="shared" si="2"/>
        <v>840.38616000000013</v>
      </c>
      <c r="Q9" s="78">
        <f t="shared" si="3"/>
        <v>135.33624</v>
      </c>
      <c r="R9" s="78">
        <f t="shared" si="4"/>
        <v>135.33624</v>
      </c>
      <c r="S9" s="78"/>
      <c r="T9" s="78">
        <f t="shared" si="5"/>
        <v>0.80806361538461546</v>
      </c>
      <c r="AG9" s="119" t="s">
        <v>238</v>
      </c>
      <c r="AH9" s="119" t="s">
        <v>241</v>
      </c>
      <c r="AI9" s="120">
        <f>L43</f>
        <v>2347</v>
      </c>
      <c r="AJ9" s="122">
        <f>G43</f>
        <v>2.564E-2</v>
      </c>
      <c r="AK9" s="120">
        <f>S43</f>
        <v>60.177079999999997</v>
      </c>
    </row>
    <row r="10" spans="1:37" ht="14.5" x14ac:dyDescent="0.35">
      <c r="A10" s="75">
        <v>45231</v>
      </c>
      <c r="B10" s="77">
        <v>1610</v>
      </c>
      <c r="C10" s="5"/>
      <c r="D10" s="5"/>
      <c r="E10" s="5"/>
      <c r="F10" s="5"/>
      <c r="G10" s="5"/>
      <c r="H10" s="64">
        <v>1.1850000000000001</v>
      </c>
      <c r="I10" s="64"/>
      <c r="J10" s="78">
        <f t="shared" si="0"/>
        <v>1510</v>
      </c>
      <c r="K10" s="79">
        <v>1510</v>
      </c>
      <c r="L10" s="79">
        <v>0</v>
      </c>
      <c r="M10" s="79">
        <v>458.31</v>
      </c>
      <c r="N10" s="115">
        <v>0.1</v>
      </c>
      <c r="O10" s="78">
        <f t="shared" si="1"/>
        <v>1907.8500000000001</v>
      </c>
      <c r="P10" s="78">
        <f t="shared" si="2"/>
        <v>1258.7550000000001</v>
      </c>
      <c r="Q10" s="78">
        <f t="shared" si="3"/>
        <v>190.78500000000003</v>
      </c>
      <c r="R10" s="78">
        <f t="shared" si="4"/>
        <v>190.78500000000003</v>
      </c>
      <c r="S10" s="78"/>
      <c r="T10" s="78">
        <f t="shared" si="5"/>
        <v>0.833612582781457</v>
      </c>
      <c r="AG10" s="119" t="s">
        <v>239</v>
      </c>
      <c r="AH10" s="122"/>
      <c r="AI10" s="123">
        <v>0.125</v>
      </c>
      <c r="AJ10" s="122"/>
      <c r="AK10" s="120">
        <f>-R43</f>
        <v>-353.44646499999999</v>
      </c>
    </row>
    <row r="11" spans="1:37" ht="14.5" x14ac:dyDescent="0.35">
      <c r="A11" s="75">
        <v>45261</v>
      </c>
      <c r="B11" s="77">
        <v>1380</v>
      </c>
      <c r="C11" s="5"/>
      <c r="D11" s="5"/>
      <c r="E11" s="5"/>
      <c r="F11" s="5"/>
      <c r="G11" s="5"/>
      <c r="H11" s="64">
        <v>1.2294700000000001</v>
      </c>
      <c r="I11" s="64"/>
      <c r="J11" s="78">
        <f t="shared" si="0"/>
        <v>1280</v>
      </c>
      <c r="K11" s="79">
        <v>1280</v>
      </c>
      <c r="L11" s="79">
        <v>0</v>
      </c>
      <c r="M11" s="79">
        <f>200+231.34</f>
        <v>431.34000000000003</v>
      </c>
      <c r="N11" s="115">
        <v>0.1</v>
      </c>
      <c r="O11" s="78">
        <f t="shared" si="1"/>
        <v>1696.6686000000002</v>
      </c>
      <c r="P11" s="78">
        <f t="shared" si="2"/>
        <v>1095.66174</v>
      </c>
      <c r="Q11" s="78">
        <f t="shared" si="3"/>
        <v>169.66686000000004</v>
      </c>
      <c r="R11" s="78">
        <f t="shared" si="4"/>
        <v>169.66686000000004</v>
      </c>
      <c r="S11" s="78"/>
      <c r="T11" s="78">
        <f t="shared" si="5"/>
        <v>0.85598573437500003</v>
      </c>
      <c r="AG11" s="119" t="s">
        <v>240</v>
      </c>
      <c r="AH11" s="122"/>
      <c r="AI11" s="124">
        <v>1</v>
      </c>
      <c r="AJ11" s="122"/>
      <c r="AK11" s="120">
        <f>-S43</f>
        <v>-60.177079999999997</v>
      </c>
    </row>
    <row r="12" spans="1:37" ht="14.5" x14ac:dyDescent="0.35">
      <c r="A12" s="75">
        <v>45292</v>
      </c>
      <c r="B12" s="77">
        <v>1780</v>
      </c>
      <c r="C12" s="5"/>
      <c r="D12" s="5"/>
      <c r="E12" s="5"/>
      <c r="F12" s="5"/>
      <c r="G12" s="5"/>
      <c r="H12" s="64">
        <v>1.2211700000000001</v>
      </c>
      <c r="I12" s="64"/>
      <c r="J12" s="78">
        <f t="shared" si="0"/>
        <v>1678</v>
      </c>
      <c r="K12" s="79">
        <v>1678</v>
      </c>
      <c r="L12" s="79">
        <v>0</v>
      </c>
      <c r="M12" s="79">
        <v>500.25</v>
      </c>
      <c r="N12" s="115">
        <v>0.1</v>
      </c>
      <c r="O12" s="78">
        <f t="shared" si="1"/>
        <v>2173.6826000000001</v>
      </c>
      <c r="P12" s="78">
        <f t="shared" si="2"/>
        <v>1456.0643400000001</v>
      </c>
      <c r="Q12" s="78">
        <f t="shared" si="3"/>
        <v>217.36826000000002</v>
      </c>
      <c r="R12" s="78">
        <f t="shared" si="4"/>
        <v>217.36826000000002</v>
      </c>
      <c r="S12" s="78"/>
      <c r="T12" s="78">
        <f t="shared" si="5"/>
        <v>0.86773798569725868</v>
      </c>
      <c r="U12" s="81">
        <f t="shared" ref="U12:U23" si="6">M12+P12</f>
        <v>1956.3143400000001</v>
      </c>
      <c r="AG12" s="119" t="s">
        <v>242</v>
      </c>
      <c r="AH12" s="122"/>
      <c r="AI12" s="122"/>
      <c r="AJ12" s="122"/>
      <c r="AK12" s="120">
        <f>P43</f>
        <v>2474.1252549999999</v>
      </c>
    </row>
    <row r="13" spans="1:37" ht="14.5" x14ac:dyDescent="0.35">
      <c r="A13" s="75">
        <v>45323</v>
      </c>
      <c r="B13" s="77">
        <v>1630</v>
      </c>
      <c r="C13" s="5"/>
      <c r="D13" s="5"/>
      <c r="E13" s="5"/>
      <c r="F13" s="5"/>
      <c r="G13" s="5"/>
      <c r="H13" s="64">
        <v>1.21726</v>
      </c>
      <c r="I13" s="64"/>
      <c r="J13" s="78">
        <f t="shared" si="0"/>
        <v>1528</v>
      </c>
      <c r="K13" s="79">
        <v>816</v>
      </c>
      <c r="L13" s="79">
        <v>712</v>
      </c>
      <c r="M13" s="79">
        <v>382.69</v>
      </c>
      <c r="N13" s="115">
        <v>0.1</v>
      </c>
      <c r="O13" s="78">
        <f t="shared" si="1"/>
        <v>1984.1338000000001</v>
      </c>
      <c r="P13" s="78">
        <f t="shared" si="2"/>
        <v>1403.03042</v>
      </c>
      <c r="Q13" s="78">
        <f t="shared" si="3"/>
        <v>198.41338000000002</v>
      </c>
      <c r="R13" s="78">
        <f t="shared" si="4"/>
        <v>198.41338000000002</v>
      </c>
      <c r="S13" s="78"/>
      <c r="T13" s="78">
        <f t="shared" si="5"/>
        <v>0.91821362565445031</v>
      </c>
      <c r="U13" s="81">
        <f t="shared" si="6"/>
        <v>1785.7204200000001</v>
      </c>
      <c r="AG13" s="119" t="s">
        <v>243</v>
      </c>
      <c r="AH13" s="122"/>
      <c r="AI13" s="122"/>
      <c r="AJ13" s="122"/>
      <c r="AK13" s="120">
        <f>-Q43</f>
        <v>-413.62354499999998</v>
      </c>
    </row>
    <row r="14" spans="1:37" ht="14.5" x14ac:dyDescent="0.35">
      <c r="A14" s="75">
        <v>45352</v>
      </c>
      <c r="B14" s="77">
        <v>1620</v>
      </c>
      <c r="C14" s="5"/>
      <c r="D14" s="5"/>
      <c r="E14" s="5"/>
      <c r="F14" s="5"/>
      <c r="G14" s="5"/>
      <c r="H14" s="64">
        <v>1.22523</v>
      </c>
      <c r="I14" s="64"/>
      <c r="J14" s="78">
        <f t="shared" si="0"/>
        <v>1520</v>
      </c>
      <c r="K14" s="79">
        <v>1520</v>
      </c>
      <c r="L14" s="79">
        <v>0</v>
      </c>
      <c r="M14" s="79">
        <v>498.68</v>
      </c>
      <c r="N14" s="115">
        <v>0.1</v>
      </c>
      <c r="O14" s="78">
        <f t="shared" si="1"/>
        <v>1984.8726000000001</v>
      </c>
      <c r="P14" s="78">
        <f t="shared" si="2"/>
        <v>1287.7053400000002</v>
      </c>
      <c r="Q14" s="78">
        <f t="shared" si="3"/>
        <v>198.48726000000002</v>
      </c>
      <c r="R14" s="78">
        <f t="shared" si="4"/>
        <v>198.48726000000002</v>
      </c>
      <c r="S14" s="78"/>
      <c r="T14" s="78">
        <f t="shared" si="5"/>
        <v>0.84717456578947381</v>
      </c>
      <c r="U14" s="81">
        <f t="shared" si="6"/>
        <v>1786.3853400000003</v>
      </c>
    </row>
    <row r="15" spans="1:37" ht="14.5" x14ac:dyDescent="0.35">
      <c r="A15" s="75">
        <v>45383</v>
      </c>
      <c r="B15" s="77">
        <v>1360</v>
      </c>
      <c r="C15" s="5"/>
      <c r="D15" s="5"/>
      <c r="E15" s="5"/>
      <c r="F15" s="5"/>
      <c r="G15" s="5"/>
      <c r="H15" s="64">
        <v>1.25125</v>
      </c>
      <c r="I15" s="64"/>
      <c r="J15" s="78">
        <f t="shared" si="0"/>
        <v>1079</v>
      </c>
      <c r="K15" s="79">
        <v>700</v>
      </c>
      <c r="L15" s="79">
        <v>379</v>
      </c>
      <c r="M15" s="79">
        <v>646.62</v>
      </c>
      <c r="N15" s="115">
        <v>0.1</v>
      </c>
      <c r="O15" s="78">
        <f t="shared" si="1"/>
        <v>1701.7</v>
      </c>
      <c r="P15" s="78">
        <f t="shared" si="2"/>
        <v>884.91</v>
      </c>
      <c r="Q15" s="78">
        <f t="shared" si="3"/>
        <v>170.17000000000002</v>
      </c>
      <c r="R15" s="78">
        <f t="shared" si="4"/>
        <v>170.17000000000002</v>
      </c>
      <c r="S15" s="78"/>
      <c r="T15" s="78">
        <f t="shared" si="5"/>
        <v>0.82012048192771081</v>
      </c>
      <c r="U15" s="81">
        <f t="shared" si="6"/>
        <v>1531.53</v>
      </c>
      <c r="AK15" s="118" t="s">
        <v>247</v>
      </c>
    </row>
    <row r="16" spans="1:37" ht="14.5" x14ac:dyDescent="0.35">
      <c r="A16" s="75">
        <v>45413</v>
      </c>
      <c r="B16" s="77">
        <v>1410</v>
      </c>
      <c r="C16" s="5"/>
      <c r="D16" s="5"/>
      <c r="E16" s="5"/>
      <c r="F16" s="5"/>
      <c r="G16" s="5"/>
      <c r="H16" s="64">
        <v>1.27102</v>
      </c>
      <c r="I16" s="64"/>
      <c r="J16" s="78">
        <f t="shared" si="0"/>
        <v>1307</v>
      </c>
      <c r="K16" s="79">
        <v>779</v>
      </c>
      <c r="L16" s="79">
        <v>528</v>
      </c>
      <c r="M16" s="79">
        <v>480.11</v>
      </c>
      <c r="N16" s="115">
        <v>0.1</v>
      </c>
      <c r="O16" s="78">
        <f t="shared" si="1"/>
        <v>1792.1382000000001</v>
      </c>
      <c r="P16" s="78">
        <f t="shared" si="2"/>
        <v>1132.8143800000003</v>
      </c>
      <c r="Q16" s="78">
        <f t="shared" si="3"/>
        <v>179.21382000000003</v>
      </c>
      <c r="R16" s="78">
        <f t="shared" si="4"/>
        <v>179.21382000000003</v>
      </c>
      <c r="S16" s="78"/>
      <c r="T16" s="78">
        <f t="shared" si="5"/>
        <v>0.86672867635807216</v>
      </c>
      <c r="U16" s="81">
        <f t="shared" si="6"/>
        <v>1612.9243800000004</v>
      </c>
      <c r="AK16" s="114">
        <f>SUM(Q32:Q43)</f>
        <v>7846.6543110000002</v>
      </c>
    </row>
    <row r="17" spans="1:39" ht="14.5" x14ac:dyDescent="0.35">
      <c r="A17" s="75">
        <v>45444</v>
      </c>
      <c r="B17" s="77">
        <v>1460</v>
      </c>
      <c r="C17" s="5"/>
      <c r="D17" s="5"/>
      <c r="E17" s="5"/>
      <c r="F17" s="5"/>
      <c r="G17" s="5"/>
      <c r="H17" s="64">
        <v>1.2749999999999999</v>
      </c>
      <c r="I17" s="64"/>
      <c r="J17" s="78">
        <f t="shared" si="0"/>
        <v>535</v>
      </c>
      <c r="K17" s="79">
        <v>30</v>
      </c>
      <c r="L17" s="79">
        <v>505</v>
      </c>
      <c r="M17" s="79">
        <v>1371.18</v>
      </c>
      <c r="N17" s="115">
        <v>0.1</v>
      </c>
      <c r="O17" s="78">
        <f t="shared" si="1"/>
        <v>1861.4999999999998</v>
      </c>
      <c r="P17" s="78">
        <f t="shared" si="2"/>
        <v>304.16999999999985</v>
      </c>
      <c r="Q17" s="78">
        <f t="shared" si="3"/>
        <v>186.14999999999998</v>
      </c>
      <c r="R17" s="78">
        <f t="shared" si="4"/>
        <v>186.14999999999998</v>
      </c>
      <c r="S17" s="78"/>
      <c r="T17" s="78">
        <f t="shared" si="5"/>
        <v>0.56854205607476604</v>
      </c>
      <c r="U17" s="81">
        <f t="shared" si="6"/>
        <v>1675.35</v>
      </c>
      <c r="V17" s="84">
        <f>('Faturamento Laura Jardim'!P6-T17)*J17</f>
        <v>151.10958184118687</v>
      </c>
    </row>
    <row r="18" spans="1:39" ht="14.5" x14ac:dyDescent="0.35">
      <c r="A18" s="75">
        <v>45474</v>
      </c>
      <c r="B18" s="77">
        <v>3107</v>
      </c>
      <c r="C18" s="5"/>
      <c r="D18" s="5"/>
      <c r="E18" s="5"/>
      <c r="F18" s="5"/>
      <c r="G18" s="5"/>
      <c r="H18" s="64">
        <v>1.26261</v>
      </c>
      <c r="I18" s="64"/>
      <c r="J18" s="78">
        <f t="shared" si="0"/>
        <v>441</v>
      </c>
      <c r="K18" s="79">
        <v>0</v>
      </c>
      <c r="L18" s="79">
        <v>441</v>
      </c>
      <c r="M18" s="79">
        <v>3593.73</v>
      </c>
      <c r="N18" s="115">
        <v>0.1</v>
      </c>
      <c r="O18" s="78">
        <f t="shared" si="1"/>
        <v>3922.9292700000001</v>
      </c>
      <c r="P18" s="78">
        <v>0</v>
      </c>
      <c r="Q18" s="78">
        <f t="shared" si="3"/>
        <v>329.19927000000007</v>
      </c>
      <c r="R18" s="78">
        <f>O18-M18</f>
        <v>329.19927000000007</v>
      </c>
      <c r="S18" s="78">
        <f>B18*G18</f>
        <v>0</v>
      </c>
      <c r="T18" s="78">
        <f t="shared" si="5"/>
        <v>0</v>
      </c>
      <c r="U18" s="81">
        <f t="shared" si="6"/>
        <v>3593.73</v>
      </c>
      <c r="V18" s="84">
        <f>('Faturamento Laura Jardim'!P7-T18)*J18</f>
        <v>321.27719999999999</v>
      </c>
      <c r="W18" s="7"/>
    </row>
    <row r="19" spans="1:39" ht="14.5" x14ac:dyDescent="0.35">
      <c r="A19" s="75">
        <v>45505</v>
      </c>
      <c r="B19" s="77">
        <v>4633</v>
      </c>
      <c r="C19" s="5">
        <v>0.40061999999999998</v>
      </c>
      <c r="D19" s="5">
        <v>0.84679000000000004</v>
      </c>
      <c r="E19" s="5"/>
      <c r="F19" s="5"/>
      <c r="G19" s="5">
        <v>6.0000000000000001E-3</v>
      </c>
      <c r="H19" s="64">
        <f t="shared" ref="H19:H42" si="7">SUM(C19:G19)</f>
        <v>1.2534099999999999</v>
      </c>
      <c r="I19" s="64"/>
      <c r="J19" s="78">
        <f t="shared" si="0"/>
        <v>931</v>
      </c>
      <c r="K19" s="79">
        <v>0</v>
      </c>
      <c r="L19" s="79">
        <v>931</v>
      </c>
      <c r="M19" s="79">
        <v>4910.87</v>
      </c>
      <c r="N19" s="115">
        <v>0.1</v>
      </c>
      <c r="O19" s="78">
        <f t="shared" si="1"/>
        <v>5807.04853</v>
      </c>
      <c r="P19" s="78">
        <f t="shared" ref="P19:P21" si="8">90%*O19-M19-S19</f>
        <v>309.88767699999994</v>
      </c>
      <c r="Q19" s="78">
        <f t="shared" si="3"/>
        <v>586.29085300000008</v>
      </c>
      <c r="R19" s="78">
        <f t="shared" ref="R19:R42" si="9">O19*0.1</f>
        <v>580.70485300000007</v>
      </c>
      <c r="S19" s="78">
        <f t="shared" ref="S19:S42" si="10">J19*G19</f>
        <v>5.5860000000000003</v>
      </c>
      <c r="T19" s="78">
        <f t="shared" si="5"/>
        <v>0.33285464769065515</v>
      </c>
      <c r="U19" s="81">
        <f t="shared" si="6"/>
        <v>5220.7576769999996</v>
      </c>
      <c r="V19" s="84">
        <f>('Faturamento Laura Jardim'!P8-T19)*J19</f>
        <v>476.46511399999997</v>
      </c>
    </row>
    <row r="20" spans="1:39" ht="14.5" x14ac:dyDescent="0.35">
      <c r="A20" s="75">
        <v>45536</v>
      </c>
      <c r="B20" s="77">
        <v>4905</v>
      </c>
      <c r="C20" s="5">
        <v>0.40803</v>
      </c>
      <c r="D20" s="5">
        <v>0.86246</v>
      </c>
      <c r="E20" s="5"/>
      <c r="F20" s="5"/>
      <c r="G20" s="5">
        <v>4.6580000000000003E-2</v>
      </c>
      <c r="H20" s="64">
        <f t="shared" si="7"/>
        <v>1.3170700000000002</v>
      </c>
      <c r="I20" s="64"/>
      <c r="J20" s="78">
        <f t="shared" si="0"/>
        <v>1241</v>
      </c>
      <c r="K20" s="79">
        <v>0</v>
      </c>
      <c r="L20" s="79">
        <f>511+729+1</f>
        <v>1241</v>
      </c>
      <c r="M20" s="79">
        <v>5163.99</v>
      </c>
      <c r="N20" s="115">
        <v>0.1</v>
      </c>
      <c r="O20" s="78">
        <f t="shared" si="1"/>
        <v>6460.2283500000012</v>
      </c>
      <c r="P20" s="78">
        <f t="shared" si="8"/>
        <v>592.40973500000166</v>
      </c>
      <c r="Q20" s="78">
        <f t="shared" si="3"/>
        <v>703.82861500000024</v>
      </c>
      <c r="R20" s="78">
        <f t="shared" si="9"/>
        <v>646.02283500000021</v>
      </c>
      <c r="S20" s="78">
        <f t="shared" si="10"/>
        <v>57.805780000000006</v>
      </c>
      <c r="T20" s="78">
        <f t="shared" si="5"/>
        <v>0.47736481466559361</v>
      </c>
      <c r="U20" s="81">
        <f t="shared" si="6"/>
        <v>5756.3997350000018</v>
      </c>
      <c r="V20" s="84">
        <f>('Faturamento Laura Jardim'!P9-T20)*J20</f>
        <v>530.23946928925443</v>
      </c>
    </row>
    <row r="21" spans="1:39" ht="15.75" customHeight="1" x14ac:dyDescent="0.35">
      <c r="A21" s="75">
        <v>45566</v>
      </c>
      <c r="B21" s="77">
        <v>5747</v>
      </c>
      <c r="C21" s="5">
        <v>0.40903</v>
      </c>
      <c r="D21" s="5">
        <v>0.86456999999999995</v>
      </c>
      <c r="E21" s="5"/>
      <c r="F21" s="5"/>
      <c r="G21" s="5">
        <v>0.10036</v>
      </c>
      <c r="H21" s="64">
        <f t="shared" si="7"/>
        <v>1.3739600000000001</v>
      </c>
      <c r="I21" s="64"/>
      <c r="J21" s="78">
        <f t="shared" si="0"/>
        <v>1078</v>
      </c>
      <c r="K21" s="79">
        <v>0</v>
      </c>
      <c r="L21" s="79">
        <f>444+634</f>
        <v>1078</v>
      </c>
      <c r="M21" s="79">
        <v>6720.23</v>
      </c>
      <c r="N21" s="115">
        <v>0.1</v>
      </c>
      <c r="O21" s="78">
        <f t="shared" si="1"/>
        <v>7896.1481200000007</v>
      </c>
      <c r="P21" s="78">
        <f t="shared" si="8"/>
        <v>278.11522800000137</v>
      </c>
      <c r="Q21" s="78">
        <f t="shared" si="3"/>
        <v>897.80289200000016</v>
      </c>
      <c r="R21" s="78">
        <f t="shared" si="9"/>
        <v>789.61481200000014</v>
      </c>
      <c r="S21" s="78">
        <f t="shared" si="10"/>
        <v>108.18808</v>
      </c>
      <c r="T21" s="78">
        <f t="shared" si="5"/>
        <v>0.2579918627087211</v>
      </c>
      <c r="U21" s="81">
        <f t="shared" si="6"/>
        <v>6998.345228000001</v>
      </c>
      <c r="V21" s="84">
        <f>('Faturamento Laura Jardim'!P10-T21)*J21</f>
        <v>742.99882487957973</v>
      </c>
    </row>
    <row r="22" spans="1:39" ht="15.75" customHeight="1" x14ac:dyDescent="0.35">
      <c r="A22" s="75">
        <v>45597</v>
      </c>
      <c r="B22" s="77">
        <v>5646</v>
      </c>
      <c r="C22" s="5">
        <v>0.40333999999999998</v>
      </c>
      <c r="D22" s="5">
        <v>0.85255000000000003</v>
      </c>
      <c r="E22" s="5"/>
      <c r="F22" s="5"/>
      <c r="G22" s="5">
        <f>0.02022+0.02366</f>
        <v>4.3880000000000002E-2</v>
      </c>
      <c r="H22" s="64">
        <f t="shared" si="7"/>
        <v>1.2997699999999999</v>
      </c>
      <c r="I22" s="64"/>
      <c r="J22" s="78">
        <f t="shared" si="0"/>
        <v>1067</v>
      </c>
      <c r="K22" s="79">
        <v>0</v>
      </c>
      <c r="L22" s="79">
        <f>447+620</f>
        <v>1067</v>
      </c>
      <c r="M22" s="79">
        <v>6251.2</v>
      </c>
      <c r="N22" s="115">
        <v>0.1</v>
      </c>
      <c r="O22" s="78">
        <f t="shared" si="1"/>
        <v>7338.5014199999996</v>
      </c>
      <c r="P22" s="78">
        <f t="shared" ref="P22:P26" si="11">O22-M22-Q22</f>
        <v>306.63131799999974</v>
      </c>
      <c r="Q22" s="78">
        <f t="shared" si="3"/>
        <v>780.67010200000004</v>
      </c>
      <c r="R22" s="78">
        <f t="shared" si="9"/>
        <v>733.85014200000001</v>
      </c>
      <c r="S22" s="78">
        <f t="shared" si="10"/>
        <v>46.819960000000002</v>
      </c>
      <c r="T22" s="78">
        <f t="shared" si="5"/>
        <v>0.28737705529522001</v>
      </c>
      <c r="U22" s="81">
        <f t="shared" si="6"/>
        <v>6557.8313179999996</v>
      </c>
      <c r="V22" s="84">
        <f>('Faturamento Laura Jardim'!P11-T22)*J22</f>
        <v>413.32780730762943</v>
      </c>
    </row>
    <row r="23" spans="1:39" ht="15.75" customHeight="1" x14ac:dyDescent="0.35">
      <c r="A23" s="75">
        <v>45627</v>
      </c>
      <c r="B23" s="77">
        <v>5991</v>
      </c>
      <c r="C23" s="5">
        <v>0.40233000000000002</v>
      </c>
      <c r="D23" s="5">
        <v>0.85041999999999995</v>
      </c>
      <c r="E23" s="5"/>
      <c r="F23" s="5"/>
      <c r="G23" s="5">
        <v>4.5999999999999999E-3</v>
      </c>
      <c r="H23" s="64">
        <f t="shared" si="7"/>
        <v>1.25735</v>
      </c>
      <c r="I23" s="64"/>
      <c r="J23" s="78">
        <f t="shared" si="0"/>
        <v>1225</v>
      </c>
      <c r="K23" s="79">
        <v>0</v>
      </c>
      <c r="L23" s="79">
        <f>498+727</f>
        <v>1225</v>
      </c>
      <c r="M23" s="79">
        <v>6492.23</v>
      </c>
      <c r="N23" s="115">
        <v>0.1</v>
      </c>
      <c r="O23" s="78">
        <f t="shared" si="1"/>
        <v>7532.7838499999998</v>
      </c>
      <c r="P23" s="78">
        <f t="shared" si="11"/>
        <v>281.64046500000018</v>
      </c>
      <c r="Q23" s="78">
        <f t="shared" si="3"/>
        <v>758.91338500000006</v>
      </c>
      <c r="R23" s="78">
        <f t="shared" si="9"/>
        <v>753.27838500000007</v>
      </c>
      <c r="S23" s="78">
        <f t="shared" si="10"/>
        <v>5.6349999999999998</v>
      </c>
      <c r="T23" s="78">
        <f t="shared" si="5"/>
        <v>0.22991058367346953</v>
      </c>
      <c r="U23" s="81">
        <f t="shared" si="6"/>
        <v>6773.870465</v>
      </c>
      <c r="V23" s="84">
        <f>('Faturamento Laura Jardim'!P12-T23)*J23</f>
        <v>760.12563846303499</v>
      </c>
    </row>
    <row r="24" spans="1:39" ht="15.75" customHeight="1" x14ac:dyDescent="0.35">
      <c r="A24" s="75">
        <v>45658</v>
      </c>
      <c r="B24" s="77">
        <v>5840</v>
      </c>
      <c r="C24" s="5">
        <v>0.41266999999999998</v>
      </c>
      <c r="D24" s="5">
        <v>0.87224999999999997</v>
      </c>
      <c r="E24" s="5"/>
      <c r="F24" s="5"/>
      <c r="G24" s="5">
        <v>0</v>
      </c>
      <c r="H24" s="64">
        <f t="shared" si="7"/>
        <v>1.2849200000000001</v>
      </c>
      <c r="I24" s="64"/>
      <c r="J24" s="78">
        <f t="shared" si="0"/>
        <v>1822</v>
      </c>
      <c r="K24" s="79">
        <v>0</v>
      </c>
      <c r="L24" s="79">
        <f>1191+631</f>
        <v>1822</v>
      </c>
      <c r="M24" s="79">
        <v>5642.38</v>
      </c>
      <c r="N24" s="115">
        <v>0.1</v>
      </c>
      <c r="O24" s="78">
        <f t="shared" si="1"/>
        <v>7503.9328000000005</v>
      </c>
      <c r="P24" s="78">
        <f t="shared" si="11"/>
        <v>1111.1595200000002</v>
      </c>
      <c r="Q24" s="78">
        <f t="shared" si="3"/>
        <v>750.39328000000012</v>
      </c>
      <c r="R24" s="78">
        <f t="shared" si="9"/>
        <v>750.39328000000012</v>
      </c>
      <c r="S24" s="78">
        <f t="shared" si="10"/>
        <v>0</v>
      </c>
      <c r="T24" s="78">
        <f t="shared" si="5"/>
        <v>0.60985703622392984</v>
      </c>
      <c r="V24" s="84">
        <f>('Faturamento Laura Jardim'!P13-T24)*J24</f>
        <v>460.817288345946</v>
      </c>
    </row>
    <row r="25" spans="1:39" ht="15.75" customHeight="1" x14ac:dyDescent="0.35">
      <c r="A25" s="75">
        <v>45689</v>
      </c>
      <c r="B25" s="77">
        <v>6532</v>
      </c>
      <c r="C25" s="5">
        <v>0.41478999999999999</v>
      </c>
      <c r="D25" s="5">
        <v>0.87675000000000003</v>
      </c>
      <c r="E25" s="5"/>
      <c r="F25" s="5"/>
      <c r="G25" s="5">
        <v>0</v>
      </c>
      <c r="H25" s="64">
        <f t="shared" si="7"/>
        <v>1.2915399999999999</v>
      </c>
      <c r="I25" s="64"/>
      <c r="J25" s="78">
        <f t="shared" si="0"/>
        <v>1754</v>
      </c>
      <c r="K25" s="79">
        <v>0</v>
      </c>
      <c r="L25" s="79">
        <f>1068+686</f>
        <v>1754</v>
      </c>
      <c r="M25" s="79">
        <v>6599.06</v>
      </c>
      <c r="N25" s="115">
        <v>0.1</v>
      </c>
      <c r="O25" s="78">
        <f t="shared" si="1"/>
        <v>8436.3392800000001</v>
      </c>
      <c r="P25" s="78">
        <f t="shared" si="11"/>
        <v>993.64535199999966</v>
      </c>
      <c r="Q25" s="78">
        <f t="shared" si="3"/>
        <v>843.63392800000008</v>
      </c>
      <c r="R25" s="78">
        <f t="shared" si="9"/>
        <v>843.63392800000008</v>
      </c>
      <c r="S25" s="78">
        <f t="shared" si="10"/>
        <v>0</v>
      </c>
      <c r="T25" s="78">
        <f t="shared" si="5"/>
        <v>0.56650248118586066</v>
      </c>
      <c r="V25" s="84">
        <f>('Faturamento Laura Jardim'!P14-T25)*J25</f>
        <v>543.68390358548402</v>
      </c>
    </row>
    <row r="26" spans="1:39" ht="15.75" customHeight="1" x14ac:dyDescent="0.35">
      <c r="A26" s="75">
        <v>45717</v>
      </c>
      <c r="B26" s="77">
        <v>6479</v>
      </c>
      <c r="C26" s="5">
        <v>0.38772000000000001</v>
      </c>
      <c r="D26" s="5">
        <v>0.82508000000000004</v>
      </c>
      <c r="E26" s="5"/>
      <c r="F26" s="5"/>
      <c r="G26" s="5">
        <v>0</v>
      </c>
      <c r="H26" s="64">
        <f t="shared" si="7"/>
        <v>1.2128000000000001</v>
      </c>
      <c r="I26" s="64"/>
      <c r="J26" s="78">
        <f t="shared" si="0"/>
        <v>1535</v>
      </c>
      <c r="K26" s="79">
        <v>0</v>
      </c>
      <c r="L26" s="79">
        <f>909+626</f>
        <v>1535</v>
      </c>
      <c r="M26" s="79">
        <v>6381.48</v>
      </c>
      <c r="N26" s="115">
        <v>0.1</v>
      </c>
      <c r="O26" s="78">
        <f t="shared" si="1"/>
        <v>7857.7312000000011</v>
      </c>
      <c r="P26" s="78">
        <f t="shared" si="11"/>
        <v>690.47808000000134</v>
      </c>
      <c r="Q26" s="78">
        <f t="shared" si="3"/>
        <v>785.77312000000018</v>
      </c>
      <c r="R26" s="78">
        <f t="shared" si="9"/>
        <v>785.77312000000018</v>
      </c>
      <c r="S26" s="78">
        <f t="shared" si="10"/>
        <v>0</v>
      </c>
      <c r="T26" s="78">
        <f t="shared" si="5"/>
        <v>0.44982285342019629</v>
      </c>
      <c r="V26" s="84">
        <f>('Faturamento Laura Jardim'!P15-T26)*J26</f>
        <v>562.07344979009133</v>
      </c>
    </row>
    <row r="27" spans="1:39" ht="15.75" customHeight="1" x14ac:dyDescent="0.35">
      <c r="A27" s="75">
        <v>45748</v>
      </c>
      <c r="B27" s="77">
        <v>5079</v>
      </c>
      <c r="C27" s="5">
        <v>0.3947</v>
      </c>
      <c r="D27" s="5">
        <v>0.85016999999999998</v>
      </c>
      <c r="E27" s="5"/>
      <c r="F27" s="5"/>
      <c r="G27" s="5">
        <v>0</v>
      </c>
      <c r="H27" s="64">
        <f t="shared" si="7"/>
        <v>1.2448699999999999</v>
      </c>
      <c r="I27" s="64"/>
      <c r="J27" s="78">
        <f t="shared" si="0"/>
        <v>747</v>
      </c>
      <c r="K27" s="79">
        <v>0</v>
      </c>
      <c r="L27" s="79">
        <f>323+424</f>
        <v>747</v>
      </c>
      <c r="M27" s="79">
        <v>5762.82</v>
      </c>
      <c r="N27" s="115">
        <v>0.1</v>
      </c>
      <c r="O27" s="78">
        <f t="shared" si="1"/>
        <v>6322.6947299999993</v>
      </c>
      <c r="P27" s="78">
        <f t="shared" ref="P27:P42" si="12">MAX(O27-M27-Q27,0)</f>
        <v>0</v>
      </c>
      <c r="Q27" s="78">
        <f t="shared" ref="Q27:Q42" si="13">MIN(SUM(R27:S27),O27-M27)</f>
        <v>559.87472999999954</v>
      </c>
      <c r="R27" s="78">
        <f t="shared" si="9"/>
        <v>632.26947299999995</v>
      </c>
      <c r="S27" s="78">
        <f t="shared" si="10"/>
        <v>0</v>
      </c>
      <c r="T27" s="78">
        <f t="shared" si="5"/>
        <v>0</v>
      </c>
      <c r="V27" s="84">
        <f>('Faturamento Laura Jardim'!P16-T27)*J27</f>
        <v>625.44394785532995</v>
      </c>
      <c r="AM27" s="127" t="s">
        <v>253</v>
      </c>
    </row>
    <row r="28" spans="1:39" ht="15.75" customHeight="1" x14ac:dyDescent="0.35">
      <c r="A28" s="75">
        <v>45778</v>
      </c>
      <c r="B28" s="77">
        <v>5101</v>
      </c>
      <c r="C28" s="5">
        <v>0.41709000000000002</v>
      </c>
      <c r="D28" s="5">
        <v>0.89839000000000002</v>
      </c>
      <c r="E28" s="5"/>
      <c r="F28" s="5"/>
      <c r="G28" s="5">
        <v>2.1219999999999999E-2</v>
      </c>
      <c r="H28" s="64">
        <f t="shared" si="7"/>
        <v>1.3367</v>
      </c>
      <c r="I28" s="64"/>
      <c r="J28" s="78">
        <f t="shared" si="0"/>
        <v>800</v>
      </c>
      <c r="K28" s="79">
        <v>0</v>
      </c>
      <c r="L28" s="79">
        <f>349+451</f>
        <v>800</v>
      </c>
      <c r="M28" s="79">
        <v>6002.73</v>
      </c>
      <c r="N28" s="115">
        <v>0.1</v>
      </c>
      <c r="O28" s="78">
        <f t="shared" si="1"/>
        <v>6818.5066999999999</v>
      </c>
      <c r="P28" s="78">
        <f t="shared" si="12"/>
        <v>116.95003000000031</v>
      </c>
      <c r="Q28" s="78">
        <f t="shared" si="13"/>
        <v>698.82667000000004</v>
      </c>
      <c r="R28" s="78">
        <f t="shared" si="9"/>
        <v>681.85067000000004</v>
      </c>
      <c r="S28" s="78">
        <f t="shared" si="10"/>
        <v>16.975999999999999</v>
      </c>
      <c r="T28" s="78">
        <f t="shared" si="5"/>
        <v>0.14618753750000038</v>
      </c>
      <c r="V28" s="84">
        <f>('Faturamento Laura Jardim'!P17-T28)*J28</f>
        <v>592.51040261231242</v>
      </c>
      <c r="AM28" s="127" t="s">
        <v>254</v>
      </c>
    </row>
    <row r="29" spans="1:39" ht="15.75" customHeight="1" x14ac:dyDescent="0.35">
      <c r="A29" s="75">
        <v>45809</v>
      </c>
      <c r="B29" s="77">
        <v>4702</v>
      </c>
      <c r="C29" s="5">
        <v>0.41428999999999999</v>
      </c>
      <c r="D29" s="5">
        <v>0.89237</v>
      </c>
      <c r="E29" s="5"/>
      <c r="F29" s="5"/>
      <c r="G29" s="5">
        <f>0.00664+0.04725</f>
        <v>5.389E-2</v>
      </c>
      <c r="H29" s="64">
        <f t="shared" si="7"/>
        <v>1.3605499999999999</v>
      </c>
      <c r="I29" s="64"/>
      <c r="J29" s="78">
        <f t="shared" si="0"/>
        <v>1644</v>
      </c>
      <c r="K29" s="79">
        <v>0</v>
      </c>
      <c r="L29" s="79">
        <v>1644</v>
      </c>
      <c r="M29" s="79">
        <v>4593.5</v>
      </c>
      <c r="N29" s="115">
        <v>0.1</v>
      </c>
      <c r="O29" s="78">
        <f t="shared" si="1"/>
        <v>6397.3060999999998</v>
      </c>
      <c r="P29" s="78">
        <f t="shared" si="12"/>
        <v>1075.4803299999999</v>
      </c>
      <c r="Q29" s="78">
        <f t="shared" si="13"/>
        <v>728.32577000000003</v>
      </c>
      <c r="R29" s="78">
        <f t="shared" si="9"/>
        <v>639.73061000000007</v>
      </c>
      <c r="S29" s="78">
        <f t="shared" si="10"/>
        <v>88.595160000000007</v>
      </c>
      <c r="T29" s="78">
        <f t="shared" si="5"/>
        <v>0.65418511557177605</v>
      </c>
      <c r="V29" s="84">
        <f>('Faturamento Laura Jardim'!P18-T29)*J29</f>
        <v>358.77025506036739</v>
      </c>
    </row>
    <row r="30" spans="1:39" ht="15.75" customHeight="1" x14ac:dyDescent="0.35">
      <c r="A30" s="75">
        <v>45839</v>
      </c>
      <c r="B30" s="77">
        <v>3959</v>
      </c>
      <c r="C30" s="5">
        <v>0.40168999999999999</v>
      </c>
      <c r="D30" s="5">
        <v>0.87488999999999995</v>
      </c>
      <c r="E30" s="5"/>
      <c r="F30" s="5"/>
      <c r="G30" s="5">
        <v>6.1716E-2</v>
      </c>
      <c r="H30" s="64">
        <f t="shared" si="7"/>
        <v>1.3382960000000002</v>
      </c>
      <c r="I30" s="64"/>
      <c r="J30" s="78">
        <f t="shared" si="0"/>
        <v>1691</v>
      </c>
      <c r="K30" s="79">
        <v>0</v>
      </c>
      <c r="L30" s="79">
        <v>1691</v>
      </c>
      <c r="M30" s="79">
        <v>3480.04</v>
      </c>
      <c r="N30" s="115">
        <v>0.1</v>
      </c>
      <c r="O30" s="78">
        <f t="shared" si="1"/>
        <v>5298.3138640000006</v>
      </c>
      <c r="P30" s="78">
        <f t="shared" si="12"/>
        <v>1184.0807216000007</v>
      </c>
      <c r="Q30" s="78">
        <f t="shared" si="13"/>
        <v>634.19314240000006</v>
      </c>
      <c r="R30" s="78">
        <f t="shared" si="9"/>
        <v>529.83138640000004</v>
      </c>
      <c r="S30" s="78">
        <f t="shared" si="10"/>
        <v>104.361756</v>
      </c>
      <c r="T30" s="78">
        <f t="shared" si="5"/>
        <v>0.7002251458308697</v>
      </c>
      <c r="V30" s="84">
        <f>('Faturamento Laura Jardim'!P19-T30)*J30</f>
        <v>260.42948500278686</v>
      </c>
    </row>
    <row r="31" spans="1:39" ht="15.75" customHeight="1" x14ac:dyDescent="0.35">
      <c r="A31" s="75">
        <v>45870</v>
      </c>
      <c r="B31" s="77">
        <v>4089</v>
      </c>
      <c r="C31" s="5">
        <v>0.39750000000000002</v>
      </c>
      <c r="D31" s="5">
        <v>0.85619000000000001</v>
      </c>
      <c r="E31" s="5"/>
      <c r="F31" s="5"/>
      <c r="G31" s="5">
        <v>9.6579999999999999E-2</v>
      </c>
      <c r="H31" s="64">
        <f t="shared" si="7"/>
        <v>1.3502700000000001</v>
      </c>
      <c r="I31" s="64"/>
      <c r="J31" s="78">
        <f t="shared" si="0"/>
        <v>2235</v>
      </c>
      <c r="K31" s="79">
        <v>0</v>
      </c>
      <c r="L31" s="79">
        <v>2235</v>
      </c>
      <c r="M31" s="79">
        <v>3044.05</v>
      </c>
      <c r="N31" s="115">
        <v>0.1</v>
      </c>
      <c r="O31" s="78">
        <f t="shared" si="1"/>
        <v>5521.2540300000001</v>
      </c>
      <c r="P31" s="78">
        <f t="shared" si="12"/>
        <v>1709.222327</v>
      </c>
      <c r="Q31" s="78">
        <f t="shared" si="13"/>
        <v>767.98170300000004</v>
      </c>
      <c r="R31" s="78">
        <f t="shared" si="9"/>
        <v>552.12540300000001</v>
      </c>
      <c r="S31" s="78">
        <f t="shared" si="10"/>
        <v>215.8563</v>
      </c>
      <c r="T31" s="78">
        <f t="shared" si="5"/>
        <v>0.76475271901565989</v>
      </c>
      <c r="V31" s="84">
        <f>('Faturamento Laura Jardim'!P20-T31)*J31</f>
        <v>142.48546508591701</v>
      </c>
    </row>
    <row r="32" spans="1:39" ht="15.75" customHeight="1" x14ac:dyDescent="0.35">
      <c r="A32" s="75">
        <v>45901</v>
      </c>
      <c r="B32" s="77">
        <v>4109</v>
      </c>
      <c r="C32" s="5">
        <v>0.41144999999999998</v>
      </c>
      <c r="D32" s="5">
        <v>0.88624000000000003</v>
      </c>
      <c r="E32" s="5"/>
      <c r="F32" s="5"/>
      <c r="G32" s="5">
        <v>0.11045000000000001</v>
      </c>
      <c r="H32" s="64">
        <f t="shared" si="7"/>
        <v>1.4081399999999999</v>
      </c>
      <c r="I32" s="64"/>
      <c r="J32" s="78">
        <f t="shared" si="0"/>
        <v>2515</v>
      </c>
      <c r="K32" s="79">
        <v>0</v>
      </c>
      <c r="L32" s="79">
        <v>2515</v>
      </c>
      <c r="M32" s="79">
        <v>2861.29</v>
      </c>
      <c r="N32" s="115">
        <v>0.1</v>
      </c>
      <c r="O32" s="78">
        <f t="shared" si="1"/>
        <v>5786.0472599999994</v>
      </c>
      <c r="P32" s="78">
        <f t="shared" si="12"/>
        <v>2068.3707839999997</v>
      </c>
      <c r="Q32" s="78">
        <f t="shared" si="13"/>
        <v>856.3864759999999</v>
      </c>
      <c r="R32" s="78">
        <f t="shared" si="9"/>
        <v>578.60472599999991</v>
      </c>
      <c r="S32" s="78">
        <f t="shared" si="10"/>
        <v>277.78174999999999</v>
      </c>
      <c r="T32" s="78">
        <f t="shared" si="5"/>
        <v>0.82241383061630213</v>
      </c>
      <c r="V32" s="84">
        <f>('Faturamento Laura Jardim'!P21-T32)*J32</f>
        <v>55.553365210799775</v>
      </c>
    </row>
    <row r="33" spans="1:22" ht="15.75" customHeight="1" x14ac:dyDescent="0.35">
      <c r="A33" s="75">
        <v>45931</v>
      </c>
      <c r="B33" s="77">
        <v>4093</v>
      </c>
      <c r="C33" s="5">
        <v>0.41105999999999998</v>
      </c>
      <c r="D33" s="5">
        <v>0.88539999999999996</v>
      </c>
      <c r="E33" s="5"/>
      <c r="F33" s="5"/>
      <c r="G33" s="5">
        <v>7.2069999999999995E-2</v>
      </c>
      <c r="H33" s="64">
        <f t="shared" si="7"/>
        <v>1.36853</v>
      </c>
      <c r="I33" s="64"/>
      <c r="J33" s="78">
        <f t="shared" si="0"/>
        <v>2836</v>
      </c>
      <c r="K33" s="79">
        <v>0</v>
      </c>
      <c r="L33" s="79">
        <v>2836</v>
      </c>
      <c r="M33" s="79">
        <v>2403.4</v>
      </c>
      <c r="N33" s="115">
        <v>0.1</v>
      </c>
      <c r="O33" s="78">
        <f t="shared" si="1"/>
        <v>5601.39329</v>
      </c>
      <c r="P33" s="78">
        <f t="shared" si="12"/>
        <v>2433.4634409999999</v>
      </c>
      <c r="Q33" s="78">
        <f t="shared" si="13"/>
        <v>764.52984900000001</v>
      </c>
      <c r="R33" s="78">
        <f t="shared" si="9"/>
        <v>560.13932899999998</v>
      </c>
      <c r="S33" s="78">
        <f t="shared" si="10"/>
        <v>204.39051999999998</v>
      </c>
      <c r="T33" s="78">
        <f t="shared" si="5"/>
        <v>0.85806186212976021</v>
      </c>
      <c r="V33" s="84">
        <f>('Faturamento Laura Jardim'!P22-T33)*J33</f>
        <v>-4.0574201060604054</v>
      </c>
    </row>
    <row r="34" spans="1:22" ht="15.75" customHeight="1" x14ac:dyDescent="0.35">
      <c r="A34" s="75">
        <v>45962</v>
      </c>
      <c r="B34" s="77">
        <v>4238</v>
      </c>
      <c r="C34" s="5">
        <v>0.40683000000000002</v>
      </c>
      <c r="D34" s="5">
        <v>0.87629999999999997</v>
      </c>
      <c r="E34" s="5"/>
      <c r="F34" s="5"/>
      <c r="G34" s="5">
        <v>6.1870000000000001E-2</v>
      </c>
      <c r="H34" s="64">
        <f t="shared" si="7"/>
        <v>1.345</v>
      </c>
      <c r="I34" s="64"/>
      <c r="J34" s="78">
        <f t="shared" si="0"/>
        <v>2951</v>
      </c>
      <c r="K34" s="79">
        <v>0</v>
      </c>
      <c r="L34" s="79">
        <v>2951</v>
      </c>
      <c r="M34" s="79">
        <v>2432.5100000000002</v>
      </c>
      <c r="N34" s="115">
        <v>0.1</v>
      </c>
      <c r="O34" s="78">
        <f t="shared" si="1"/>
        <v>5700.11</v>
      </c>
      <c r="P34" s="78">
        <f t="shared" si="12"/>
        <v>2515.0106299999998</v>
      </c>
      <c r="Q34" s="78">
        <f t="shared" si="13"/>
        <v>752.58936999999992</v>
      </c>
      <c r="R34" s="78">
        <f t="shared" si="9"/>
        <v>570.01099999999997</v>
      </c>
      <c r="S34" s="78">
        <f t="shared" si="10"/>
        <v>182.57837000000001</v>
      </c>
      <c r="T34" s="78">
        <f t="shared" si="5"/>
        <v>0.85225707556760411</v>
      </c>
      <c r="V34" s="84">
        <f>('Faturamento Laura Jardim'!P23-T34)*J34</f>
        <v>5.9280138838027971</v>
      </c>
    </row>
    <row r="35" spans="1:22" ht="15.75" customHeight="1" x14ac:dyDescent="0.35">
      <c r="A35" s="75">
        <v>45992</v>
      </c>
      <c r="B35" s="77">
        <v>4908</v>
      </c>
      <c r="C35" s="5">
        <v>0.4168</v>
      </c>
      <c r="D35" s="5">
        <v>0.89776</v>
      </c>
      <c r="E35" s="5"/>
      <c r="F35" s="5"/>
      <c r="G35" s="5">
        <f>0.02123+0.01311</f>
        <v>3.4339999999999996E-2</v>
      </c>
      <c r="H35" s="64">
        <f t="shared" si="7"/>
        <v>1.3489</v>
      </c>
      <c r="I35" s="64"/>
      <c r="J35" s="78">
        <f t="shared" si="0"/>
        <v>3384</v>
      </c>
      <c r="K35" s="79">
        <v>0</v>
      </c>
      <c r="L35" s="79">
        <v>3384</v>
      </c>
      <c r="M35" s="79">
        <v>2864.92</v>
      </c>
      <c r="N35" s="115">
        <v>0.1</v>
      </c>
      <c r="O35" s="78">
        <f t="shared" si="1"/>
        <v>6620.4012000000002</v>
      </c>
      <c r="P35" s="78">
        <f t="shared" si="12"/>
        <v>2977.23452</v>
      </c>
      <c r="Q35" s="78">
        <f t="shared" si="13"/>
        <v>778.24668000000008</v>
      </c>
      <c r="R35" s="78">
        <f t="shared" si="9"/>
        <v>662.04012000000012</v>
      </c>
      <c r="S35" s="78">
        <f t="shared" si="10"/>
        <v>116.20655999999998</v>
      </c>
      <c r="T35" s="78">
        <f t="shared" si="5"/>
        <v>0.87979743498817964</v>
      </c>
      <c r="V35" s="84">
        <f>('Faturamento Laura Jardim'!P24-T35)*J35</f>
        <v>25.962371369774694</v>
      </c>
    </row>
    <row r="36" spans="1:22" ht="15.75" customHeight="1" x14ac:dyDescent="0.35">
      <c r="A36" s="75">
        <v>46023</v>
      </c>
      <c r="B36" s="77">
        <v>4957</v>
      </c>
      <c r="C36" s="5">
        <v>0.41594999999999999</v>
      </c>
      <c r="D36" s="5">
        <v>0.89590999999999998</v>
      </c>
      <c r="E36" s="5"/>
      <c r="F36" s="5"/>
      <c r="G36" s="5">
        <v>6.8900000000000003E-3</v>
      </c>
      <c r="H36" s="64">
        <f t="shared" si="7"/>
        <v>1.3187500000000001</v>
      </c>
      <c r="I36" s="64"/>
      <c r="J36" s="78">
        <f t="shared" si="0"/>
        <v>4695</v>
      </c>
      <c r="K36" s="79">
        <v>0</v>
      </c>
      <c r="L36" s="79">
        <v>4695</v>
      </c>
      <c r="M36" s="79">
        <v>1436.54</v>
      </c>
      <c r="N36" s="115">
        <v>0.1</v>
      </c>
      <c r="O36" s="78">
        <f t="shared" si="1"/>
        <v>6537.0437500000007</v>
      </c>
      <c r="P36" s="78">
        <f t="shared" si="12"/>
        <v>4414.4508250000008</v>
      </c>
      <c r="Q36" s="78">
        <f t="shared" si="13"/>
        <v>686.05292500000019</v>
      </c>
      <c r="R36" s="78">
        <f t="shared" si="9"/>
        <v>653.70437500000014</v>
      </c>
      <c r="S36" s="78">
        <f t="shared" si="10"/>
        <v>32.348550000000003</v>
      </c>
      <c r="T36" s="78">
        <f t="shared" si="5"/>
        <v>0.94024511714590009</v>
      </c>
      <c r="V36" s="84">
        <f>('Faturamento Laura Jardim'!P25-T36)*J36</f>
        <v>-303.14065323943805</v>
      </c>
    </row>
    <row r="37" spans="1:22" ht="15.75" customHeight="1" x14ac:dyDescent="0.35">
      <c r="A37" s="75">
        <v>46054</v>
      </c>
      <c r="B37" s="77">
        <v>4359</v>
      </c>
      <c r="C37" s="5">
        <v>0.41170000000000001</v>
      </c>
      <c r="D37" s="5">
        <v>0.88675999999999999</v>
      </c>
      <c r="E37" s="5"/>
      <c r="F37" s="5"/>
      <c r="G37" s="5">
        <v>0</v>
      </c>
      <c r="H37" s="64">
        <f t="shared" si="7"/>
        <v>1.2984599999999999</v>
      </c>
      <c r="I37" s="64"/>
      <c r="J37" s="78">
        <f t="shared" si="0"/>
        <v>3013</v>
      </c>
      <c r="K37" s="79">
        <v>0</v>
      </c>
      <c r="L37" s="79">
        <v>3013</v>
      </c>
      <c r="M37" s="79">
        <v>2469.7800000000002</v>
      </c>
      <c r="N37" s="115">
        <v>0.1</v>
      </c>
      <c r="O37" s="78">
        <f t="shared" si="1"/>
        <v>5659.9871400000002</v>
      </c>
      <c r="P37" s="78">
        <f t="shared" si="12"/>
        <v>2624.2084260000001</v>
      </c>
      <c r="Q37" s="78">
        <f t="shared" si="13"/>
        <v>565.99871400000006</v>
      </c>
      <c r="R37" s="78">
        <f t="shared" si="9"/>
        <v>565.99871400000006</v>
      </c>
      <c r="S37" s="78">
        <f t="shared" si="10"/>
        <v>0</v>
      </c>
      <c r="T37" s="78">
        <f t="shared" si="5"/>
        <v>0.87096197344839033</v>
      </c>
      <c r="V37" s="84">
        <f>('Faturamento Laura Jardim'!P26-T37)*J37</f>
        <v>14.582411602693675</v>
      </c>
    </row>
    <row r="38" spans="1:22" ht="15.75" customHeight="1" x14ac:dyDescent="0.35">
      <c r="A38" s="75">
        <v>46082</v>
      </c>
      <c r="B38" s="77">
        <v>4611</v>
      </c>
      <c r="C38" s="5">
        <v>0.41577999999999998</v>
      </c>
      <c r="D38" s="5">
        <v>0.90661999999999998</v>
      </c>
      <c r="E38" s="5"/>
      <c r="F38" s="5"/>
      <c r="G38" s="5">
        <v>0</v>
      </c>
      <c r="H38" s="64">
        <f t="shared" si="7"/>
        <v>1.3224</v>
      </c>
      <c r="I38" s="64"/>
      <c r="J38" s="78">
        <f t="shared" si="0"/>
        <v>3176</v>
      </c>
      <c r="K38" s="79">
        <v>0</v>
      </c>
      <c r="L38" s="79">
        <v>3176</v>
      </c>
      <c r="M38" s="79">
        <v>2669.03</v>
      </c>
      <c r="N38" s="115">
        <v>0.1</v>
      </c>
      <c r="O38" s="78">
        <f t="shared" si="1"/>
        <v>6097.5864000000001</v>
      </c>
      <c r="P38" s="78">
        <f t="shared" si="12"/>
        <v>2818.7977599999999</v>
      </c>
      <c r="Q38" s="78">
        <f t="shared" si="13"/>
        <v>609.75864000000001</v>
      </c>
      <c r="R38" s="78">
        <f t="shared" si="9"/>
        <v>609.75864000000001</v>
      </c>
      <c r="S38" s="78">
        <f t="shared" si="10"/>
        <v>0</v>
      </c>
      <c r="T38" s="78">
        <f t="shared" si="5"/>
        <v>0.88753078085642312</v>
      </c>
      <c r="V38" s="84">
        <f>('Faturamento Laura Jardim'!P27-T38)*J38</f>
        <v>29.835016859060865</v>
      </c>
    </row>
    <row r="39" spans="1:22" ht="15.75" customHeight="1" x14ac:dyDescent="0.35">
      <c r="A39" s="75">
        <v>46113</v>
      </c>
      <c r="B39" s="77">
        <v>4024</v>
      </c>
      <c r="C39" s="5">
        <v>0.46566999999999997</v>
      </c>
      <c r="D39" s="5">
        <v>1.0344599999999999</v>
      </c>
      <c r="E39" s="5"/>
      <c r="F39" s="5"/>
      <c r="G39" s="5">
        <v>0</v>
      </c>
      <c r="H39" s="64">
        <f t="shared" si="7"/>
        <v>1.50013</v>
      </c>
      <c r="I39" s="64"/>
      <c r="J39" s="78">
        <f t="shared" si="0"/>
        <v>2218</v>
      </c>
      <c r="K39" s="79">
        <v>0</v>
      </c>
      <c r="L39" s="79">
        <v>2218</v>
      </c>
      <c r="M39" s="79">
        <v>3340.47</v>
      </c>
      <c r="N39" s="115">
        <v>0.1</v>
      </c>
      <c r="O39" s="78">
        <f t="shared" si="1"/>
        <v>6036.5231199999998</v>
      </c>
      <c r="P39" s="78">
        <f t="shared" si="12"/>
        <v>2092.4008079999999</v>
      </c>
      <c r="Q39" s="78">
        <f t="shared" si="13"/>
        <v>603.65231200000005</v>
      </c>
      <c r="R39" s="78">
        <f t="shared" si="9"/>
        <v>603.65231200000005</v>
      </c>
      <c r="S39" s="78">
        <f t="shared" si="10"/>
        <v>0</v>
      </c>
      <c r="T39" s="78">
        <f t="shared" si="5"/>
        <v>0.94337277186654633</v>
      </c>
      <c r="V39" s="84">
        <f>('Faturamento Laura Jardim'!P28-T39)*J39</f>
        <v>176.08567616273359</v>
      </c>
    </row>
    <row r="40" spans="1:22" ht="15.75" customHeight="1" x14ac:dyDescent="0.35">
      <c r="A40" s="75">
        <v>46143</v>
      </c>
      <c r="B40" s="77">
        <v>3931</v>
      </c>
      <c r="C40" s="5">
        <v>0.46700999999999998</v>
      </c>
      <c r="D40" s="5">
        <v>1.0375000000000001</v>
      </c>
      <c r="E40" s="5"/>
      <c r="F40" s="5"/>
      <c r="G40" s="5">
        <v>2.1530000000000001E-2</v>
      </c>
      <c r="H40" s="64">
        <f t="shared" si="7"/>
        <v>1.5260400000000001</v>
      </c>
      <c r="I40" s="64"/>
      <c r="J40" s="78">
        <f t="shared" si="0"/>
        <v>1969</v>
      </c>
      <c r="K40" s="79">
        <v>0</v>
      </c>
      <c r="L40" s="79">
        <v>1969</v>
      </c>
      <c r="M40" s="79">
        <v>3566.25</v>
      </c>
      <c r="N40" s="115">
        <v>0.1</v>
      </c>
      <c r="O40" s="78">
        <f t="shared" si="1"/>
        <v>5998.8632400000006</v>
      </c>
      <c r="P40" s="78">
        <f t="shared" si="12"/>
        <v>1790.3343460000006</v>
      </c>
      <c r="Q40" s="78">
        <f t="shared" si="13"/>
        <v>642.27889400000004</v>
      </c>
      <c r="R40" s="78">
        <f t="shared" si="9"/>
        <v>599.88632400000006</v>
      </c>
      <c r="S40" s="78">
        <f t="shared" si="10"/>
        <v>42.392569999999999</v>
      </c>
      <c r="T40" s="78">
        <f t="shared" si="5"/>
        <v>0.90926071406805509</v>
      </c>
      <c r="V40" s="84">
        <f>('Faturamento Laura Jardim'!P29-T40)*J40</f>
        <v>231.84187310070766</v>
      </c>
    </row>
    <row r="41" spans="1:22" ht="15.75" customHeight="1" x14ac:dyDescent="0.35">
      <c r="A41" s="75">
        <v>46174</v>
      </c>
      <c r="B41" s="77">
        <v>3423</v>
      </c>
      <c r="C41" s="5">
        <v>0.46351999999999999</v>
      </c>
      <c r="D41" s="5">
        <v>1.0297499999999999</v>
      </c>
      <c r="E41" s="5"/>
      <c r="F41" s="5"/>
      <c r="G41" s="5">
        <v>2.6509999999999999E-2</v>
      </c>
      <c r="H41" s="64">
        <f t="shared" si="7"/>
        <v>1.5197799999999999</v>
      </c>
      <c r="I41" s="64"/>
      <c r="J41" s="78">
        <f t="shared" si="0"/>
        <v>1369</v>
      </c>
      <c r="K41" s="79">
        <v>0</v>
      </c>
      <c r="L41" s="79">
        <v>1369</v>
      </c>
      <c r="M41" s="79">
        <v>3540.27</v>
      </c>
      <c r="N41" s="115">
        <v>0.1</v>
      </c>
      <c r="O41" s="78">
        <f t="shared" si="1"/>
        <v>5202.20694</v>
      </c>
      <c r="P41" s="78">
        <f t="shared" si="12"/>
        <v>1105.4240560000001</v>
      </c>
      <c r="Q41" s="78">
        <f t="shared" si="13"/>
        <v>556.51288399999999</v>
      </c>
      <c r="R41" s="78">
        <f t="shared" si="9"/>
        <v>520.22069399999998</v>
      </c>
      <c r="S41" s="78">
        <f t="shared" si="10"/>
        <v>36.292189999999998</v>
      </c>
      <c r="T41" s="78">
        <f t="shared" si="5"/>
        <v>0.8074682658875092</v>
      </c>
      <c r="V41" s="84">
        <f>('Faturamento Laura Jardim'!P30-T41)*J41</f>
        <v>272.22959033333365</v>
      </c>
    </row>
    <row r="42" spans="1:22" ht="15.75" customHeight="1" x14ac:dyDescent="0.35">
      <c r="A42" s="75">
        <v>46204</v>
      </c>
      <c r="B42" s="77">
        <v>3731</v>
      </c>
      <c r="C42" s="5">
        <v>0.47622999999999999</v>
      </c>
      <c r="D42" s="5">
        <v>1.04996</v>
      </c>
      <c r="E42" s="5"/>
      <c r="F42" s="5"/>
      <c r="G42" s="5">
        <v>2.7029999999999998E-2</v>
      </c>
      <c r="H42" s="64">
        <f t="shared" si="7"/>
        <v>1.55322</v>
      </c>
      <c r="I42" s="64"/>
      <c r="J42" s="78">
        <f t="shared" si="0"/>
        <v>1388</v>
      </c>
      <c r="K42" s="79">
        <v>0</v>
      </c>
      <c r="L42" s="79">
        <v>1388</v>
      </c>
      <c r="M42" s="79">
        <f>3449.3+612.3</f>
        <v>4061.6000000000004</v>
      </c>
      <c r="N42" s="115">
        <v>0.1</v>
      </c>
      <c r="O42" s="78">
        <f t="shared" si="1"/>
        <v>5795.0638200000003</v>
      </c>
      <c r="P42" s="78">
        <f t="shared" si="12"/>
        <v>1116.4397979999999</v>
      </c>
      <c r="Q42" s="78">
        <f t="shared" si="13"/>
        <v>617.02402200000006</v>
      </c>
      <c r="R42" s="78">
        <f t="shared" si="9"/>
        <v>579.50638200000003</v>
      </c>
      <c r="S42" s="78">
        <f t="shared" si="10"/>
        <v>37.51764</v>
      </c>
      <c r="T42" s="78">
        <f t="shared" si="5"/>
        <v>0.80435143948126797</v>
      </c>
      <c r="U42" s="114"/>
    </row>
    <row r="43" spans="1:22" ht="15.75" customHeight="1" x14ac:dyDescent="0.35">
      <c r="A43" s="75">
        <v>46235</v>
      </c>
      <c r="B43" s="77">
        <v>4186</v>
      </c>
      <c r="C43" s="5">
        <v>0.44818000000000002</v>
      </c>
      <c r="D43" s="5">
        <v>0.99550000000000005</v>
      </c>
      <c r="E43" s="5">
        <v>0.44818000000000002</v>
      </c>
      <c r="F43" s="5">
        <v>0.75658000000000003</v>
      </c>
      <c r="G43" s="5">
        <v>2.564E-2</v>
      </c>
      <c r="H43" s="64">
        <f>C43+D43+G43</f>
        <v>1.4693200000000002</v>
      </c>
      <c r="I43" s="64">
        <f>E43+F43</f>
        <v>1.2047600000000001</v>
      </c>
      <c r="J43" s="78">
        <f t="shared" ref="J43" si="14">K43+L43</f>
        <v>2347</v>
      </c>
      <c r="K43" s="79">
        <v>0</v>
      </c>
      <c r="L43" s="79">
        <v>2347</v>
      </c>
      <c r="M43" s="79">
        <v>3343.48</v>
      </c>
      <c r="N43" s="116">
        <v>0.125</v>
      </c>
      <c r="O43" s="78">
        <f t="shared" ref="O43" si="15">B43*H43</f>
        <v>6150.5735200000008</v>
      </c>
      <c r="P43" s="78">
        <f>(1-N43)*J43*I43</f>
        <v>2474.1252549999999</v>
      </c>
      <c r="Q43" s="78">
        <f>R43+S43</f>
        <v>413.62354499999998</v>
      </c>
      <c r="R43" s="78">
        <f>N43*I43*L43</f>
        <v>353.44646499999999</v>
      </c>
      <c r="S43" s="78">
        <f t="shared" ref="S43" si="16">J43*G43</f>
        <v>60.177079999999997</v>
      </c>
      <c r="T43" s="78">
        <f t="shared" ref="T43" si="17">P43/J43</f>
        <v>1.054165</v>
      </c>
    </row>
    <row r="44" spans="1:22" ht="15.75" customHeight="1" x14ac:dyDescent="0.35">
      <c r="P44" s="114"/>
    </row>
    <row r="45" spans="1:22" ht="15.75" customHeight="1" x14ac:dyDescent="0.35">
      <c r="P45" s="117"/>
    </row>
    <row r="46" spans="1:22" ht="15.75" customHeight="1" x14ac:dyDescent="0.35"/>
    <row r="47" spans="1:22" ht="15.75" customHeight="1" x14ac:dyDescent="0.35"/>
    <row r="48" spans="1:22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pageMargins left="0.511811024" right="0.511811024" top="0.78740157499999996" bottom="0.78740157499999996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13"/>
  <dimension ref="A1:S1000"/>
  <sheetViews>
    <sheetView topLeftCell="A18" workbookViewId="0">
      <selection activeCell="G25" sqref="G25"/>
    </sheetView>
  </sheetViews>
  <sheetFormatPr defaultColWidth="14.453125" defaultRowHeight="15" customHeight="1" x14ac:dyDescent="0.35"/>
  <cols>
    <col min="1" max="1" width="17.26953125" customWidth="1"/>
    <col min="2" max="5" width="15.26953125" customWidth="1"/>
    <col min="6" max="6" width="15" customWidth="1"/>
    <col min="7" max="8" width="23.7265625" customWidth="1"/>
    <col min="9" max="9" width="27" customWidth="1"/>
    <col min="10" max="10" width="23.81640625" customWidth="1"/>
    <col min="11" max="11" width="8.7265625" customWidth="1"/>
    <col min="12" max="13" width="10.54296875" customWidth="1"/>
    <col min="14" max="14" width="17.54296875" customWidth="1"/>
    <col min="15" max="15" width="22" customWidth="1"/>
    <col min="16" max="16" width="26.26953125" customWidth="1"/>
    <col min="17" max="19" width="8.7265625" customWidth="1"/>
  </cols>
  <sheetData>
    <row r="1" spans="1:19" ht="14.5" x14ac:dyDescent="0.35">
      <c r="A1" s="3" t="s">
        <v>75</v>
      </c>
      <c r="B1" s="3" t="s">
        <v>179</v>
      </c>
      <c r="C1" s="3" t="s">
        <v>173</v>
      </c>
      <c r="D1" s="3" t="s">
        <v>174</v>
      </c>
      <c r="E1" s="3" t="s">
        <v>175</v>
      </c>
      <c r="F1" s="3" t="s">
        <v>191</v>
      </c>
      <c r="G1" s="3" t="s">
        <v>201</v>
      </c>
      <c r="H1" s="3" t="s">
        <v>202</v>
      </c>
      <c r="I1" s="3" t="s">
        <v>203</v>
      </c>
      <c r="J1" s="3" t="s">
        <v>183</v>
      </c>
      <c r="K1" s="3" t="s">
        <v>184</v>
      </c>
      <c r="L1" s="3" t="s">
        <v>185</v>
      </c>
      <c r="M1" s="3" t="s">
        <v>204</v>
      </c>
      <c r="N1" s="3" t="s">
        <v>205</v>
      </c>
      <c r="O1" s="3" t="s">
        <v>206</v>
      </c>
      <c r="P1" s="3" t="s">
        <v>196</v>
      </c>
    </row>
    <row r="2" spans="1:19" ht="14.5" x14ac:dyDescent="0.35">
      <c r="A2" s="75">
        <v>45323</v>
      </c>
      <c r="B2" s="77">
        <v>1148</v>
      </c>
      <c r="C2" s="5"/>
      <c r="D2" s="5"/>
      <c r="E2" s="5"/>
      <c r="F2" s="54">
        <v>1.2172499999999999</v>
      </c>
      <c r="G2" s="58">
        <v>1048</v>
      </c>
      <c r="H2" s="5"/>
      <c r="I2" s="5"/>
      <c r="J2" s="5">
        <v>386.63</v>
      </c>
      <c r="K2" s="58">
        <f t="shared" ref="K2:K31" si="0">B2*F2</f>
        <v>1397.403</v>
      </c>
      <c r="L2" s="58">
        <f t="shared" ref="L2:L10" si="1">90%*K2-J2</f>
        <v>871.03270000000009</v>
      </c>
      <c r="M2" s="78">
        <f t="shared" ref="M2:M31" si="2">SUM(N2:O2)</f>
        <v>139.74030000000002</v>
      </c>
      <c r="N2" s="78">
        <f t="shared" ref="N2:N6" si="3">K2*0.1</f>
        <v>139.74030000000002</v>
      </c>
      <c r="O2" s="78">
        <f t="shared" ref="O2:O6" si="4">G2*E2</f>
        <v>0</v>
      </c>
      <c r="P2" s="71">
        <f t="shared" ref="P2:P31" si="5">L2/G2</f>
        <v>0.831138072519084</v>
      </c>
    </row>
    <row r="3" spans="1:19" ht="14.5" x14ac:dyDescent="0.35">
      <c r="A3" s="75">
        <v>45352</v>
      </c>
      <c r="B3" s="77">
        <v>1112</v>
      </c>
      <c r="C3" s="80">
        <v>0.41056999999999999</v>
      </c>
      <c r="D3" s="5">
        <v>0.81584999999999996</v>
      </c>
      <c r="E3" s="5">
        <v>0</v>
      </c>
      <c r="F3" s="56">
        <f>SUM(C3:E3)</f>
        <v>1.2264200000000001</v>
      </c>
      <c r="G3" s="58">
        <f t="shared" ref="G3:G31" si="6">H3+I3</f>
        <v>1012</v>
      </c>
      <c r="H3" s="82">
        <v>458</v>
      </c>
      <c r="I3" s="82">
        <v>554</v>
      </c>
      <c r="J3" s="82">
        <v>399.69</v>
      </c>
      <c r="K3" s="58">
        <f t="shared" si="0"/>
        <v>1363.7790400000001</v>
      </c>
      <c r="L3" s="58">
        <f t="shared" si="1"/>
        <v>827.71113600000012</v>
      </c>
      <c r="M3" s="78">
        <f t="shared" si="2"/>
        <v>136.37790400000003</v>
      </c>
      <c r="N3" s="78">
        <f t="shared" si="3"/>
        <v>136.37790400000003</v>
      </c>
      <c r="O3" s="78">
        <f t="shared" si="4"/>
        <v>0</v>
      </c>
      <c r="P3" s="71">
        <f t="shared" si="5"/>
        <v>0.8178963794466404</v>
      </c>
    </row>
    <row r="4" spans="1:19" ht="14.5" x14ac:dyDescent="0.35">
      <c r="A4" s="75">
        <v>45383</v>
      </c>
      <c r="B4" s="77">
        <v>1205</v>
      </c>
      <c r="C4" s="80"/>
      <c r="D4" s="5"/>
      <c r="E4" s="5"/>
      <c r="F4" s="54">
        <v>1.25116</v>
      </c>
      <c r="G4" s="58">
        <f t="shared" si="6"/>
        <v>1164</v>
      </c>
      <c r="H4" s="5">
        <v>724</v>
      </c>
      <c r="I4" s="5">
        <v>440</v>
      </c>
      <c r="J4" s="5">
        <v>386.63</v>
      </c>
      <c r="K4" s="58">
        <f t="shared" si="0"/>
        <v>1507.6478</v>
      </c>
      <c r="L4" s="58">
        <f t="shared" si="1"/>
        <v>970.25301999999999</v>
      </c>
      <c r="M4" s="78">
        <f t="shared" si="2"/>
        <v>150.76478</v>
      </c>
      <c r="N4" s="78">
        <f t="shared" si="3"/>
        <v>150.76478</v>
      </c>
      <c r="O4" s="78">
        <f t="shared" si="4"/>
        <v>0</v>
      </c>
      <c r="P4" s="71">
        <f t="shared" si="5"/>
        <v>0.83355070446735391</v>
      </c>
    </row>
    <row r="5" spans="1:19" ht="14.5" x14ac:dyDescent="0.35">
      <c r="A5" s="75">
        <v>45413</v>
      </c>
      <c r="B5" s="77">
        <v>1194</v>
      </c>
      <c r="C5" s="5">
        <v>0.40820000000000001</v>
      </c>
      <c r="D5" s="5">
        <v>0.86280999999999997</v>
      </c>
      <c r="E5" s="5">
        <v>0</v>
      </c>
      <c r="F5" s="54">
        <f>SUM(C5:E5)</f>
        <v>1.27101</v>
      </c>
      <c r="G5" s="58">
        <f t="shared" si="6"/>
        <v>1093</v>
      </c>
      <c r="H5" s="82">
        <v>411</v>
      </c>
      <c r="I5" s="5">
        <v>682</v>
      </c>
      <c r="J5" s="5">
        <v>435.28</v>
      </c>
      <c r="K5" s="58">
        <f t="shared" si="0"/>
        <v>1517.5859399999999</v>
      </c>
      <c r="L5" s="58">
        <f t="shared" si="1"/>
        <v>930.54734600000006</v>
      </c>
      <c r="M5" s="78">
        <f t="shared" si="2"/>
        <v>151.75859399999999</v>
      </c>
      <c r="N5" s="78">
        <f t="shared" si="3"/>
        <v>151.75859399999999</v>
      </c>
      <c r="O5" s="78">
        <f t="shared" si="4"/>
        <v>0</v>
      </c>
      <c r="P5" s="71">
        <f t="shared" si="5"/>
        <v>0.85136994144556277</v>
      </c>
    </row>
    <row r="6" spans="1:19" ht="14.5" x14ac:dyDescent="0.35">
      <c r="A6" s="75">
        <v>45444</v>
      </c>
      <c r="B6" s="77">
        <v>1321</v>
      </c>
      <c r="C6" s="5"/>
      <c r="D6" s="5"/>
      <c r="E6" s="5"/>
      <c r="F6" s="54">
        <v>1.27546</v>
      </c>
      <c r="G6" s="58">
        <f t="shared" si="6"/>
        <v>1146</v>
      </c>
      <c r="H6" s="5">
        <v>303</v>
      </c>
      <c r="I6" s="5">
        <v>843</v>
      </c>
      <c r="J6" s="5">
        <v>541.16</v>
      </c>
      <c r="K6" s="58">
        <f t="shared" si="0"/>
        <v>1684.88266</v>
      </c>
      <c r="L6" s="58">
        <f t="shared" si="1"/>
        <v>975.23439399999995</v>
      </c>
      <c r="M6" s="78">
        <f t="shared" si="2"/>
        <v>168.48826600000001</v>
      </c>
      <c r="N6" s="78">
        <f t="shared" si="3"/>
        <v>168.48826600000001</v>
      </c>
      <c r="O6" s="78">
        <f t="shared" si="4"/>
        <v>0</v>
      </c>
      <c r="P6" s="71">
        <f t="shared" si="5"/>
        <v>0.85098987260034897</v>
      </c>
    </row>
    <row r="7" spans="1:19" ht="14.5" x14ac:dyDescent="0.35">
      <c r="A7" s="75">
        <v>45474</v>
      </c>
      <c r="B7" s="77">
        <v>1173</v>
      </c>
      <c r="C7" s="5"/>
      <c r="D7" s="5"/>
      <c r="E7" s="5"/>
      <c r="F7" s="54">
        <v>1.26</v>
      </c>
      <c r="G7" s="58">
        <f t="shared" si="6"/>
        <v>735</v>
      </c>
      <c r="H7" s="82"/>
      <c r="I7" s="5">
        <v>735</v>
      </c>
      <c r="J7" s="5">
        <v>794.72</v>
      </c>
      <c r="K7" s="58">
        <f t="shared" si="0"/>
        <v>1477.98</v>
      </c>
      <c r="L7" s="58">
        <f t="shared" si="1"/>
        <v>535.46199999999999</v>
      </c>
      <c r="M7" s="78">
        <f t="shared" si="2"/>
        <v>170.08999999999997</v>
      </c>
      <c r="N7" s="83">
        <v>147.97999999999999</v>
      </c>
      <c r="O7" s="83">
        <v>22.11</v>
      </c>
      <c r="P7" s="71">
        <f t="shared" si="5"/>
        <v>0.72851972789115649</v>
      </c>
      <c r="R7" s="12"/>
      <c r="S7" s="12"/>
    </row>
    <row r="8" spans="1:19" ht="14.5" x14ac:dyDescent="0.35">
      <c r="A8" s="75">
        <v>45505</v>
      </c>
      <c r="B8" s="77">
        <v>1290</v>
      </c>
      <c r="C8" s="5">
        <v>0.40060000000000001</v>
      </c>
      <c r="D8" s="5">
        <v>0.84677999999999998</v>
      </c>
      <c r="E8" s="5">
        <v>4.81E-3</v>
      </c>
      <c r="F8" s="54">
        <f t="shared" ref="F8:F31" si="7">SUM(C8:E8)</f>
        <v>1.2521899999999999</v>
      </c>
      <c r="G8" s="58">
        <f t="shared" si="6"/>
        <v>1190</v>
      </c>
      <c r="H8" s="82">
        <v>0</v>
      </c>
      <c r="I8" s="5">
        <v>1190</v>
      </c>
      <c r="J8" s="5">
        <v>448.68</v>
      </c>
      <c r="K8" s="58">
        <f t="shared" si="0"/>
        <v>1615.3250999999998</v>
      </c>
      <c r="L8" s="58">
        <f t="shared" si="1"/>
        <v>1005.1125899999997</v>
      </c>
      <c r="M8" s="78">
        <f t="shared" si="2"/>
        <v>167.25641000000002</v>
      </c>
      <c r="N8" s="78">
        <f t="shared" ref="N8:N31" si="8">K8*0.1</f>
        <v>161.53251</v>
      </c>
      <c r="O8" s="78">
        <f t="shared" ref="O8:O31" si="9">G8*E8</f>
        <v>5.7239000000000004</v>
      </c>
      <c r="P8" s="71">
        <f t="shared" si="5"/>
        <v>0.8446324285714284</v>
      </c>
      <c r="S8" s="12"/>
    </row>
    <row r="9" spans="1:19" ht="14.5" x14ac:dyDescent="0.35">
      <c r="A9" s="75">
        <v>45536</v>
      </c>
      <c r="B9" s="77">
        <v>1310</v>
      </c>
      <c r="C9" s="5">
        <v>0.40801999999999999</v>
      </c>
      <c r="D9" s="5">
        <v>0.86245000000000005</v>
      </c>
      <c r="E9" s="5">
        <v>5.1740000000000001E-2</v>
      </c>
      <c r="F9" s="54">
        <f t="shared" si="7"/>
        <v>1.3222099999999999</v>
      </c>
      <c r="G9" s="58">
        <f t="shared" si="6"/>
        <v>1210</v>
      </c>
      <c r="H9" s="82">
        <v>357.5</v>
      </c>
      <c r="I9" s="5">
        <v>852.5</v>
      </c>
      <c r="J9" s="5">
        <v>464.28</v>
      </c>
      <c r="K9" s="58">
        <f t="shared" si="0"/>
        <v>1732.0950999999998</v>
      </c>
      <c r="L9" s="58">
        <f t="shared" si="1"/>
        <v>1094.6055899999999</v>
      </c>
      <c r="M9" s="78">
        <f t="shared" si="2"/>
        <v>235.81491</v>
      </c>
      <c r="N9" s="78">
        <f t="shared" si="8"/>
        <v>173.20950999999999</v>
      </c>
      <c r="O9" s="78">
        <f t="shared" si="9"/>
        <v>62.605400000000003</v>
      </c>
      <c r="P9" s="71">
        <f t="shared" si="5"/>
        <v>0.90463271900826436</v>
      </c>
    </row>
    <row r="10" spans="1:19" ht="14.5" x14ac:dyDescent="0.35">
      <c r="A10" s="75">
        <v>45566</v>
      </c>
      <c r="B10" s="77">
        <v>1246</v>
      </c>
      <c r="C10" s="5">
        <v>0.40900999999999998</v>
      </c>
      <c r="D10" s="5">
        <v>0.86456</v>
      </c>
      <c r="E10" s="5">
        <v>0.10193000000000001</v>
      </c>
      <c r="F10" s="54">
        <f t="shared" si="7"/>
        <v>1.3754999999999999</v>
      </c>
      <c r="G10" s="58">
        <f t="shared" si="6"/>
        <v>1146</v>
      </c>
      <c r="H10" s="82">
        <f>4+401.5</f>
        <v>405.5</v>
      </c>
      <c r="I10" s="5">
        <v>740.5</v>
      </c>
      <c r="J10" s="5">
        <v>456.96</v>
      </c>
      <c r="K10" s="58">
        <f t="shared" si="0"/>
        <v>1713.8729999999998</v>
      </c>
      <c r="L10" s="58">
        <f t="shared" si="1"/>
        <v>1085.5256999999999</v>
      </c>
      <c r="M10" s="78">
        <f t="shared" si="2"/>
        <v>288.19907999999998</v>
      </c>
      <c r="N10" s="78">
        <f t="shared" si="8"/>
        <v>171.38729999999998</v>
      </c>
      <c r="O10" s="78">
        <f t="shared" si="9"/>
        <v>116.81178000000001</v>
      </c>
      <c r="P10" s="71">
        <f t="shared" si="5"/>
        <v>0.94723010471204183</v>
      </c>
    </row>
    <row r="11" spans="1:19" ht="14.5" x14ac:dyDescent="0.35">
      <c r="A11" s="75">
        <v>45597</v>
      </c>
      <c r="B11" s="77">
        <v>1320</v>
      </c>
      <c r="C11" s="5">
        <v>0.40333000000000002</v>
      </c>
      <c r="D11" s="5">
        <v>0.85253999999999996</v>
      </c>
      <c r="E11" s="5">
        <f>0.02105+0.02028</f>
        <v>4.1329999999999999E-2</v>
      </c>
      <c r="F11" s="54">
        <f t="shared" si="7"/>
        <v>1.2972000000000001</v>
      </c>
      <c r="G11" s="58">
        <f t="shared" si="6"/>
        <v>1219</v>
      </c>
      <c r="H11" s="82">
        <v>474</v>
      </c>
      <c r="I11" s="5">
        <v>745</v>
      </c>
      <c r="J11" s="5">
        <v>460.92</v>
      </c>
      <c r="K11" s="58">
        <f t="shared" si="0"/>
        <v>1712.3040000000001</v>
      </c>
      <c r="L11" s="58">
        <f>K11-J11-M11-SUM(O7:O10)</f>
        <v>822.52125000000001</v>
      </c>
      <c r="M11" s="78">
        <f t="shared" si="2"/>
        <v>221.61167000000003</v>
      </c>
      <c r="N11" s="78">
        <f t="shared" si="8"/>
        <v>171.23040000000003</v>
      </c>
      <c r="O11" s="78">
        <f t="shared" si="9"/>
        <v>50.381270000000001</v>
      </c>
      <c r="P11" s="71">
        <f t="shared" si="5"/>
        <v>0.6747508203445447</v>
      </c>
    </row>
    <row r="12" spans="1:19" ht="15" customHeight="1" x14ac:dyDescent="0.35">
      <c r="A12" s="75">
        <v>45627</v>
      </c>
      <c r="B12" s="77">
        <v>1386</v>
      </c>
      <c r="C12" s="5">
        <v>0.40232000000000001</v>
      </c>
      <c r="D12" s="5">
        <v>0.85043000000000002</v>
      </c>
      <c r="E12" s="5">
        <v>3.4299999999999999E-3</v>
      </c>
      <c r="F12" s="54">
        <f t="shared" si="7"/>
        <v>1.2561800000000001</v>
      </c>
      <c r="G12" s="58">
        <f t="shared" si="6"/>
        <v>1285</v>
      </c>
      <c r="H12" s="82">
        <f>340+114</f>
        <v>454</v>
      </c>
      <c r="I12" s="5">
        <v>831</v>
      </c>
      <c r="J12" s="5">
        <v>469.76</v>
      </c>
      <c r="K12" s="58">
        <f t="shared" si="0"/>
        <v>1741.0654800000002</v>
      </c>
      <c r="L12" s="58">
        <f t="shared" ref="L12:L31" si="10">K12-J12-M12</f>
        <v>1092.7913820000001</v>
      </c>
      <c r="M12" s="78">
        <f t="shared" si="2"/>
        <v>178.51409800000002</v>
      </c>
      <c r="N12" s="78">
        <f t="shared" si="8"/>
        <v>174.10654800000003</v>
      </c>
      <c r="O12" s="78">
        <f t="shared" si="9"/>
        <v>4.4075499999999996</v>
      </c>
      <c r="P12" s="71">
        <f t="shared" si="5"/>
        <v>0.85042130894941648</v>
      </c>
    </row>
    <row r="13" spans="1:19" ht="15" customHeight="1" x14ac:dyDescent="0.35">
      <c r="A13" s="75">
        <v>45658</v>
      </c>
      <c r="B13" s="77">
        <v>1211</v>
      </c>
      <c r="C13" s="5">
        <v>0.41265000000000002</v>
      </c>
      <c r="D13" s="5">
        <v>0.87222999999999995</v>
      </c>
      <c r="E13" s="5">
        <v>0</v>
      </c>
      <c r="F13" s="54">
        <f t="shared" si="7"/>
        <v>1.28488</v>
      </c>
      <c r="G13" s="58">
        <f t="shared" si="6"/>
        <v>1110</v>
      </c>
      <c r="H13" s="82">
        <v>1052</v>
      </c>
      <c r="I13" s="5">
        <v>58</v>
      </c>
      <c r="J13" s="5">
        <v>442.71</v>
      </c>
      <c r="K13" s="58">
        <f t="shared" si="0"/>
        <v>1555.9896800000001</v>
      </c>
      <c r="L13" s="58">
        <f t="shared" si="10"/>
        <v>957.68071200000009</v>
      </c>
      <c r="M13" s="78">
        <f t="shared" si="2"/>
        <v>155.59896800000001</v>
      </c>
      <c r="N13" s="78">
        <f t="shared" si="8"/>
        <v>155.59896800000001</v>
      </c>
      <c r="O13" s="78">
        <f t="shared" si="9"/>
        <v>0</v>
      </c>
      <c r="P13" s="71">
        <f t="shared" si="5"/>
        <v>0.86277541621621634</v>
      </c>
    </row>
    <row r="14" spans="1:19" ht="15" customHeight="1" x14ac:dyDescent="0.35">
      <c r="A14" s="75">
        <v>45689</v>
      </c>
      <c r="B14" s="77">
        <v>1341</v>
      </c>
      <c r="C14" s="5">
        <v>0.41477999999999998</v>
      </c>
      <c r="D14" s="5">
        <v>0.87673000000000001</v>
      </c>
      <c r="E14" s="5">
        <v>0</v>
      </c>
      <c r="F14" s="54">
        <f t="shared" si="7"/>
        <v>1.2915099999999999</v>
      </c>
      <c r="G14" s="58">
        <f t="shared" si="6"/>
        <v>1240</v>
      </c>
      <c r="H14" s="82">
        <v>97</v>
      </c>
      <c r="I14" s="5">
        <v>1143</v>
      </c>
      <c r="J14" s="5">
        <v>471.9</v>
      </c>
      <c r="K14" s="58">
        <f t="shared" si="0"/>
        <v>1731.91491</v>
      </c>
      <c r="L14" s="58">
        <f t="shared" si="10"/>
        <v>1086.8234189999998</v>
      </c>
      <c r="M14" s="78">
        <f t="shared" si="2"/>
        <v>173.19149100000001</v>
      </c>
      <c r="N14" s="78">
        <f t="shared" si="8"/>
        <v>173.19149100000001</v>
      </c>
      <c r="O14" s="78">
        <f t="shared" si="9"/>
        <v>0</v>
      </c>
      <c r="P14" s="71">
        <f t="shared" si="5"/>
        <v>0.87647049919354825</v>
      </c>
    </row>
    <row r="15" spans="1:19" ht="15" customHeight="1" x14ac:dyDescent="0.35">
      <c r="A15" s="75">
        <v>45717</v>
      </c>
      <c r="B15" s="77">
        <v>1292</v>
      </c>
      <c r="C15" s="5">
        <v>0.38772000000000001</v>
      </c>
      <c r="D15" s="5">
        <v>0.82579000000000002</v>
      </c>
      <c r="E15" s="5">
        <v>0</v>
      </c>
      <c r="F15" s="54">
        <f t="shared" si="7"/>
        <v>1.2135100000000001</v>
      </c>
      <c r="G15" s="58">
        <f t="shared" si="6"/>
        <v>1191</v>
      </c>
      <c r="H15" s="82">
        <v>148</v>
      </c>
      <c r="I15" s="5">
        <v>1043</v>
      </c>
      <c r="J15" s="5">
        <v>439.22</v>
      </c>
      <c r="K15" s="58">
        <f t="shared" si="0"/>
        <v>1567.8549200000002</v>
      </c>
      <c r="L15" s="58">
        <f t="shared" si="10"/>
        <v>971.84942800000022</v>
      </c>
      <c r="M15" s="78">
        <f t="shared" si="2"/>
        <v>156.78549200000003</v>
      </c>
      <c r="N15" s="78">
        <f t="shared" si="8"/>
        <v>156.78549200000003</v>
      </c>
      <c r="O15" s="78">
        <f t="shared" si="9"/>
        <v>0</v>
      </c>
      <c r="P15" s="71">
        <f t="shared" si="5"/>
        <v>0.81599448194794311</v>
      </c>
    </row>
    <row r="16" spans="1:19" ht="15" customHeight="1" x14ac:dyDescent="0.35">
      <c r="A16" s="75">
        <v>45748</v>
      </c>
      <c r="B16" s="77">
        <v>1283</v>
      </c>
      <c r="C16" s="5">
        <v>0.39468999999999999</v>
      </c>
      <c r="D16" s="5">
        <v>0.85016000000000003</v>
      </c>
      <c r="E16" s="5">
        <v>0</v>
      </c>
      <c r="F16" s="54">
        <f t="shared" si="7"/>
        <v>1.24485</v>
      </c>
      <c r="G16" s="58">
        <f t="shared" si="6"/>
        <v>1182</v>
      </c>
      <c r="H16" s="82">
        <f>638+5</f>
        <v>643</v>
      </c>
      <c r="I16" s="5">
        <v>539</v>
      </c>
      <c r="J16" s="5">
        <v>447.77</v>
      </c>
      <c r="K16" s="58">
        <f t="shared" si="0"/>
        <v>1597.14255</v>
      </c>
      <c r="L16" s="58">
        <f t="shared" si="10"/>
        <v>989.65829500000007</v>
      </c>
      <c r="M16" s="78">
        <f t="shared" si="2"/>
        <v>159.71425500000001</v>
      </c>
      <c r="N16" s="78">
        <f t="shared" si="8"/>
        <v>159.71425500000001</v>
      </c>
      <c r="O16" s="78">
        <f t="shared" si="9"/>
        <v>0</v>
      </c>
      <c r="P16" s="71">
        <f t="shared" si="5"/>
        <v>0.83727436125211507</v>
      </c>
    </row>
    <row r="17" spans="1:16" ht="15" customHeight="1" x14ac:dyDescent="0.35">
      <c r="A17" s="75">
        <v>45778</v>
      </c>
      <c r="B17" s="77">
        <v>1302</v>
      </c>
      <c r="C17" s="5">
        <v>0.41707</v>
      </c>
      <c r="D17" s="5">
        <v>0.89837</v>
      </c>
      <c r="E17" s="5">
        <v>2.2460000000000001E-2</v>
      </c>
      <c r="F17" s="54">
        <f t="shared" si="7"/>
        <v>1.3378999999999999</v>
      </c>
      <c r="G17" s="58">
        <f t="shared" si="6"/>
        <v>1202</v>
      </c>
      <c r="H17" s="82">
        <v>620</v>
      </c>
      <c r="I17" s="5">
        <v>582</v>
      </c>
      <c r="J17" s="5">
        <v>474.79</v>
      </c>
      <c r="K17" s="58">
        <f t="shared" si="0"/>
        <v>1741.9457999999997</v>
      </c>
      <c r="L17" s="58">
        <f t="shared" si="10"/>
        <v>1065.9642999999999</v>
      </c>
      <c r="M17" s="78">
        <f t="shared" si="2"/>
        <v>201.19149999999996</v>
      </c>
      <c r="N17" s="78">
        <f t="shared" si="8"/>
        <v>174.19457999999997</v>
      </c>
      <c r="O17" s="78">
        <f t="shared" si="9"/>
        <v>26.996919999999999</v>
      </c>
      <c r="P17" s="71">
        <f t="shared" si="5"/>
        <v>0.88682554076539089</v>
      </c>
    </row>
    <row r="18" spans="1:16" ht="15" customHeight="1" x14ac:dyDescent="0.35">
      <c r="A18" s="75">
        <v>45809</v>
      </c>
      <c r="B18" s="77">
        <v>1243</v>
      </c>
      <c r="C18" s="5">
        <v>0.41422999999999999</v>
      </c>
      <c r="D18" s="5">
        <v>0.89219999999999999</v>
      </c>
      <c r="E18" s="85">
        <f>0.00442+0.05248</f>
        <v>5.6899999999999999E-2</v>
      </c>
      <c r="F18" s="54">
        <f t="shared" si="7"/>
        <v>1.3633299999999999</v>
      </c>
      <c r="G18" s="58">
        <f t="shared" si="6"/>
        <v>1143</v>
      </c>
      <c r="H18" s="82">
        <f>408+734+1</f>
        <v>1143</v>
      </c>
      <c r="I18" s="5">
        <v>0</v>
      </c>
      <c r="J18" s="5">
        <v>462.95</v>
      </c>
      <c r="K18" s="58">
        <f t="shared" si="0"/>
        <v>1694.6191899999999</v>
      </c>
      <c r="L18" s="58">
        <f t="shared" si="10"/>
        <v>997.17057099999988</v>
      </c>
      <c r="M18" s="78">
        <f t="shared" si="2"/>
        <v>234.49861899999999</v>
      </c>
      <c r="N18" s="78">
        <f t="shared" si="8"/>
        <v>169.46191899999999</v>
      </c>
      <c r="O18" s="78">
        <f t="shared" si="9"/>
        <v>65.036699999999996</v>
      </c>
      <c r="P18" s="71">
        <f t="shared" si="5"/>
        <v>0.8724151977252842</v>
      </c>
    </row>
    <row r="19" spans="1:16" ht="15" customHeight="1" x14ac:dyDescent="0.35">
      <c r="A19" s="75">
        <v>45839</v>
      </c>
      <c r="B19" s="77">
        <v>1249</v>
      </c>
      <c r="C19" s="5">
        <v>0.40600999999999998</v>
      </c>
      <c r="D19" s="5">
        <v>0.87446000000000002</v>
      </c>
      <c r="E19" s="85">
        <v>6.173E-2</v>
      </c>
      <c r="F19" s="54">
        <f t="shared" si="7"/>
        <v>1.3422000000000001</v>
      </c>
      <c r="G19" s="58">
        <f t="shared" si="6"/>
        <v>1148</v>
      </c>
      <c r="H19" s="82">
        <f>476+672</f>
        <v>1148</v>
      </c>
      <c r="I19" s="5">
        <v>0</v>
      </c>
      <c r="J19" s="5">
        <v>457.24</v>
      </c>
      <c r="K19" s="58">
        <f t="shared" si="0"/>
        <v>1676.4078000000002</v>
      </c>
      <c r="L19" s="58">
        <f t="shared" si="10"/>
        <v>980.66098000000011</v>
      </c>
      <c r="M19" s="78">
        <f t="shared" si="2"/>
        <v>238.50682000000003</v>
      </c>
      <c r="N19" s="78">
        <f t="shared" si="8"/>
        <v>167.64078000000003</v>
      </c>
      <c r="O19" s="78">
        <f t="shared" si="9"/>
        <v>70.866039999999998</v>
      </c>
      <c r="P19" s="71">
        <f t="shared" si="5"/>
        <v>0.85423430313588855</v>
      </c>
    </row>
    <row r="20" spans="1:16" ht="15" customHeight="1" x14ac:dyDescent="0.35">
      <c r="A20" s="75">
        <v>45870</v>
      </c>
      <c r="B20" s="77">
        <v>1229</v>
      </c>
      <c r="C20" s="5">
        <v>0.39748</v>
      </c>
      <c r="D20" s="5">
        <v>0.85611000000000004</v>
      </c>
      <c r="E20" s="85">
        <v>9.8000000000000004E-2</v>
      </c>
      <c r="F20" s="54">
        <f t="shared" si="7"/>
        <v>1.3515900000000001</v>
      </c>
      <c r="G20" s="58">
        <f t="shared" si="6"/>
        <v>1129</v>
      </c>
      <c r="H20" s="82">
        <v>1129</v>
      </c>
      <c r="I20" s="5">
        <v>0</v>
      </c>
      <c r="J20" s="5">
        <v>448.97</v>
      </c>
      <c r="K20" s="58">
        <f t="shared" si="0"/>
        <v>1661.10411</v>
      </c>
      <c r="L20" s="58">
        <f t="shared" si="10"/>
        <v>935.38169900000003</v>
      </c>
      <c r="M20" s="78">
        <f t="shared" si="2"/>
        <v>276.752411</v>
      </c>
      <c r="N20" s="78">
        <f t="shared" si="8"/>
        <v>166.110411</v>
      </c>
      <c r="O20" s="78">
        <f t="shared" si="9"/>
        <v>110.64200000000001</v>
      </c>
      <c r="P20" s="71">
        <f t="shared" si="5"/>
        <v>0.82850460496014178</v>
      </c>
    </row>
    <row r="21" spans="1:16" ht="15.75" customHeight="1" x14ac:dyDescent="0.35">
      <c r="A21" s="75">
        <v>45901</v>
      </c>
      <c r="B21" s="77">
        <v>1063</v>
      </c>
      <c r="C21" s="5">
        <v>0.41143999999999997</v>
      </c>
      <c r="D21" s="5">
        <v>0.88621000000000005</v>
      </c>
      <c r="E21" s="85">
        <v>0.11043</v>
      </c>
      <c r="F21" s="54">
        <f t="shared" si="7"/>
        <v>1.40808</v>
      </c>
      <c r="G21" s="58">
        <f t="shared" si="6"/>
        <v>963</v>
      </c>
      <c r="H21" s="82">
        <f>184+779</f>
        <v>963</v>
      </c>
      <c r="I21" s="5">
        <v>0</v>
      </c>
      <c r="J21" s="5">
        <v>427.51</v>
      </c>
      <c r="K21" s="58">
        <f t="shared" si="0"/>
        <v>1496.7890399999999</v>
      </c>
      <c r="L21" s="58">
        <f t="shared" si="10"/>
        <v>813.25604599999997</v>
      </c>
      <c r="M21" s="78">
        <f t="shared" si="2"/>
        <v>256.02299399999998</v>
      </c>
      <c r="N21" s="78">
        <f t="shared" si="8"/>
        <v>149.67890399999999</v>
      </c>
      <c r="O21" s="78">
        <f t="shared" si="9"/>
        <v>106.34408999999999</v>
      </c>
      <c r="P21" s="71">
        <f t="shared" si="5"/>
        <v>0.84450264382139151</v>
      </c>
    </row>
    <row r="22" spans="1:16" ht="15.75" customHeight="1" x14ac:dyDescent="0.35">
      <c r="A22" s="75">
        <v>45931</v>
      </c>
      <c r="B22" s="77">
        <v>1156</v>
      </c>
      <c r="C22" s="5">
        <v>0.41095999999999999</v>
      </c>
      <c r="D22" s="5">
        <v>0.88517999999999997</v>
      </c>
      <c r="E22" s="85">
        <v>6.9970000000000004E-2</v>
      </c>
      <c r="F22" s="54">
        <f t="shared" si="7"/>
        <v>1.3661099999999999</v>
      </c>
      <c r="G22" s="58">
        <f t="shared" si="6"/>
        <v>1056</v>
      </c>
      <c r="H22" s="82">
        <f>1036+19+1</f>
        <v>1056</v>
      </c>
      <c r="I22" s="5">
        <v>0</v>
      </c>
      <c r="J22" s="5">
        <v>442.81</v>
      </c>
      <c r="K22" s="58">
        <f t="shared" si="0"/>
        <v>1579.22316</v>
      </c>
      <c r="L22" s="58">
        <f t="shared" si="10"/>
        <v>904.60252400000002</v>
      </c>
      <c r="M22" s="78">
        <f t="shared" si="2"/>
        <v>231.81063600000004</v>
      </c>
      <c r="N22" s="78">
        <f t="shared" si="8"/>
        <v>157.92231600000002</v>
      </c>
      <c r="O22" s="78">
        <f t="shared" si="9"/>
        <v>73.888320000000007</v>
      </c>
      <c r="P22" s="71">
        <f t="shared" si="5"/>
        <v>0.85663117803030309</v>
      </c>
    </row>
    <row r="23" spans="1:16" ht="15.75" customHeight="1" x14ac:dyDescent="0.35">
      <c r="A23" s="75">
        <v>45962</v>
      </c>
      <c r="B23" s="77">
        <v>1236</v>
      </c>
      <c r="C23" s="5">
        <v>0.40676000000000001</v>
      </c>
      <c r="D23" s="5">
        <v>0.87612000000000001</v>
      </c>
      <c r="E23" s="85">
        <v>6.1850000000000002E-2</v>
      </c>
      <c r="F23" s="54">
        <f t="shared" si="7"/>
        <v>1.34473</v>
      </c>
      <c r="G23" s="58">
        <f t="shared" si="6"/>
        <v>1136</v>
      </c>
      <c r="H23" s="82">
        <v>1136</v>
      </c>
      <c r="I23" s="5">
        <v>0</v>
      </c>
      <c r="J23" s="5">
        <v>455.17</v>
      </c>
      <c r="K23" s="58">
        <f t="shared" si="0"/>
        <v>1662.08628</v>
      </c>
      <c r="L23" s="58">
        <f t="shared" si="10"/>
        <v>970.4460519999999</v>
      </c>
      <c r="M23" s="78">
        <f t="shared" si="2"/>
        <v>236.47022800000002</v>
      </c>
      <c r="N23" s="78">
        <f t="shared" si="8"/>
        <v>166.208628</v>
      </c>
      <c r="O23" s="78">
        <f t="shared" si="9"/>
        <v>70.261600000000001</v>
      </c>
      <c r="P23" s="71">
        <f t="shared" si="5"/>
        <v>0.85426589084507032</v>
      </c>
    </row>
    <row r="24" spans="1:16" ht="15.75" customHeight="1" x14ac:dyDescent="0.35">
      <c r="A24" s="75">
        <v>45992</v>
      </c>
      <c r="B24" s="77">
        <v>1344</v>
      </c>
      <c r="C24" s="5">
        <v>0.41667999999999999</v>
      </c>
      <c r="D24" s="5">
        <v>0.89751000000000003</v>
      </c>
      <c r="E24" s="85">
        <f>0.02243+0.01019</f>
        <v>3.2619999999999996E-2</v>
      </c>
      <c r="F24" s="54">
        <f t="shared" si="7"/>
        <v>1.3468100000000001</v>
      </c>
      <c r="G24" s="58">
        <f t="shared" si="6"/>
        <v>1244</v>
      </c>
      <c r="H24" s="82">
        <v>1244</v>
      </c>
      <c r="I24" s="5">
        <v>0</v>
      </c>
      <c r="J24" s="5">
        <v>484.51</v>
      </c>
      <c r="K24" s="58">
        <f t="shared" si="0"/>
        <v>1810.1126400000001</v>
      </c>
      <c r="L24" s="58">
        <f t="shared" si="10"/>
        <v>1104.0120959999999</v>
      </c>
      <c r="M24" s="78">
        <f t="shared" si="2"/>
        <v>221.59054400000002</v>
      </c>
      <c r="N24" s="78">
        <f t="shared" si="8"/>
        <v>181.01126400000001</v>
      </c>
      <c r="O24" s="78">
        <f t="shared" si="9"/>
        <v>40.579279999999997</v>
      </c>
      <c r="P24" s="71">
        <f t="shared" si="5"/>
        <v>0.8874695305466237</v>
      </c>
    </row>
    <row r="25" spans="1:16" ht="15.75" customHeight="1" x14ac:dyDescent="0.35">
      <c r="A25" s="75">
        <v>46023</v>
      </c>
      <c r="B25" s="77">
        <v>1165</v>
      </c>
      <c r="C25" s="5">
        <v>0.41581000000000001</v>
      </c>
      <c r="D25" s="5">
        <v>0.89580000000000004</v>
      </c>
      <c r="E25" s="85">
        <v>4.5799999999999999E-3</v>
      </c>
      <c r="F25" s="54">
        <f t="shared" si="7"/>
        <v>1.31619</v>
      </c>
      <c r="G25" s="58">
        <f t="shared" si="6"/>
        <v>1065</v>
      </c>
      <c r="H25" s="82">
        <v>1065</v>
      </c>
      <c r="I25" s="5">
        <v>0</v>
      </c>
      <c r="J25" s="5">
        <v>442.55</v>
      </c>
      <c r="K25" s="58">
        <f t="shared" si="0"/>
        <v>1533.3613499999999</v>
      </c>
      <c r="L25" s="58">
        <f t="shared" si="10"/>
        <v>932.59751499999993</v>
      </c>
      <c r="M25" s="78">
        <f t="shared" si="2"/>
        <v>158.21383499999999</v>
      </c>
      <c r="N25" s="78">
        <f t="shared" si="8"/>
        <v>153.33613499999998</v>
      </c>
      <c r="O25" s="78">
        <f t="shared" si="9"/>
        <v>4.8776999999999999</v>
      </c>
      <c r="P25" s="71">
        <f t="shared" si="5"/>
        <v>0.87567841784037548</v>
      </c>
    </row>
    <row r="26" spans="1:16" ht="15.75" customHeight="1" x14ac:dyDescent="0.35">
      <c r="A26" s="75">
        <v>46054</v>
      </c>
      <c r="B26" s="77">
        <v>1288</v>
      </c>
      <c r="C26" s="5">
        <v>0.41161999999999999</v>
      </c>
      <c r="D26" s="5">
        <v>0.88670000000000004</v>
      </c>
      <c r="E26" s="85">
        <v>0</v>
      </c>
      <c r="F26" s="54">
        <f t="shared" si="7"/>
        <v>1.2983199999999999</v>
      </c>
      <c r="G26" s="58">
        <f t="shared" si="6"/>
        <v>1188</v>
      </c>
      <c r="H26" s="82">
        <v>1188</v>
      </c>
      <c r="I26" s="5">
        <v>0</v>
      </c>
      <c r="J26" s="5">
        <v>464.56</v>
      </c>
      <c r="K26" s="58">
        <f t="shared" si="0"/>
        <v>1672.2361599999999</v>
      </c>
      <c r="L26" s="58">
        <f t="shared" si="10"/>
        <v>1040.452544</v>
      </c>
      <c r="M26" s="78">
        <f t="shared" si="2"/>
        <v>167.22361599999999</v>
      </c>
      <c r="N26" s="78">
        <f t="shared" si="8"/>
        <v>167.22361599999999</v>
      </c>
      <c r="O26" s="78">
        <f t="shared" si="9"/>
        <v>0</v>
      </c>
      <c r="P26" s="71">
        <f t="shared" si="5"/>
        <v>0.87580180471380475</v>
      </c>
    </row>
    <row r="27" spans="1:16" ht="15.75" customHeight="1" x14ac:dyDescent="0.35">
      <c r="A27" s="75">
        <v>46082</v>
      </c>
      <c r="B27" s="77">
        <v>1292</v>
      </c>
      <c r="C27" s="5">
        <v>0.41731000000000001</v>
      </c>
      <c r="D27" s="5">
        <v>0.91091</v>
      </c>
      <c r="E27" s="85">
        <v>0</v>
      </c>
      <c r="F27" s="54">
        <f t="shared" si="7"/>
        <v>1.32822</v>
      </c>
      <c r="G27" s="58">
        <f t="shared" si="6"/>
        <v>1192</v>
      </c>
      <c r="H27" s="82">
        <v>1192</v>
      </c>
      <c r="I27" s="5">
        <v>0</v>
      </c>
      <c r="J27" s="5">
        <v>475.32</v>
      </c>
      <c r="K27" s="58">
        <f t="shared" si="0"/>
        <v>1716.06024</v>
      </c>
      <c r="L27" s="58">
        <f t="shared" si="10"/>
        <v>1069.1342160000002</v>
      </c>
      <c r="M27" s="78">
        <f t="shared" si="2"/>
        <v>171.60602400000002</v>
      </c>
      <c r="N27" s="78">
        <f t="shared" si="8"/>
        <v>171.60602400000002</v>
      </c>
      <c r="O27" s="78">
        <f t="shared" si="9"/>
        <v>0</v>
      </c>
      <c r="P27" s="71">
        <f t="shared" si="5"/>
        <v>0.89692467785234908</v>
      </c>
    </row>
    <row r="28" spans="1:16" ht="15.75" customHeight="1" x14ac:dyDescent="0.35">
      <c r="A28" s="75">
        <v>46113</v>
      </c>
      <c r="B28" s="77">
        <v>1329</v>
      </c>
      <c r="C28" s="5">
        <v>0.46556999999999998</v>
      </c>
      <c r="D28" s="5">
        <v>1.0342499999999999</v>
      </c>
      <c r="E28" s="85">
        <v>0</v>
      </c>
      <c r="F28" s="54">
        <f t="shared" si="7"/>
        <v>1.4998199999999999</v>
      </c>
      <c r="G28" s="58">
        <f t="shared" si="6"/>
        <v>1229</v>
      </c>
      <c r="H28" s="5">
        <v>1229</v>
      </c>
      <c r="I28" s="5">
        <v>0</v>
      </c>
      <c r="J28" s="5">
        <v>536.96</v>
      </c>
      <c r="K28" s="58">
        <f t="shared" si="0"/>
        <v>1993.2607799999998</v>
      </c>
      <c r="L28" s="58">
        <f t="shared" si="10"/>
        <v>1256.9747019999998</v>
      </c>
      <c r="M28" s="78">
        <f t="shared" si="2"/>
        <v>199.326078</v>
      </c>
      <c r="N28" s="78">
        <f t="shared" si="8"/>
        <v>199.326078</v>
      </c>
      <c r="O28" s="78">
        <f t="shared" si="9"/>
        <v>0</v>
      </c>
      <c r="P28" s="71">
        <f t="shared" si="5"/>
        <v>1.0227621659886084</v>
      </c>
    </row>
    <row r="29" spans="1:16" ht="15.75" customHeight="1" x14ac:dyDescent="0.35">
      <c r="A29" s="75">
        <v>46143</v>
      </c>
      <c r="B29" s="77">
        <v>1371</v>
      </c>
      <c r="C29" s="5">
        <v>0.46700999999999998</v>
      </c>
      <c r="D29" s="5">
        <v>1.03746</v>
      </c>
      <c r="E29" s="85">
        <v>0</v>
      </c>
      <c r="F29" s="54">
        <f t="shared" si="7"/>
        <v>1.50447</v>
      </c>
      <c r="G29" s="58">
        <f t="shared" si="6"/>
        <v>1271</v>
      </c>
      <c r="H29" s="5">
        <v>1271</v>
      </c>
      <c r="I29" s="5">
        <v>0</v>
      </c>
      <c r="J29" s="5">
        <v>551.04</v>
      </c>
      <c r="K29" s="58">
        <f t="shared" si="0"/>
        <v>2062.6283699999999</v>
      </c>
      <c r="L29" s="58">
        <f t="shared" si="10"/>
        <v>1305.325533</v>
      </c>
      <c r="M29" s="78">
        <f t="shared" si="2"/>
        <v>206.26283699999999</v>
      </c>
      <c r="N29" s="78">
        <f t="shared" si="8"/>
        <v>206.26283699999999</v>
      </c>
      <c r="O29" s="78">
        <f t="shared" si="9"/>
        <v>0</v>
      </c>
      <c r="P29" s="71">
        <f t="shared" si="5"/>
        <v>1.0270067136113297</v>
      </c>
    </row>
    <row r="30" spans="1:16" ht="15.75" customHeight="1" x14ac:dyDescent="0.35">
      <c r="A30" s="75">
        <v>46174</v>
      </c>
      <c r="B30" s="77">
        <v>1210</v>
      </c>
      <c r="C30" s="5">
        <v>0.46337</v>
      </c>
      <c r="D30" s="5">
        <v>1.0293600000000001</v>
      </c>
      <c r="E30" s="85">
        <v>2.6499999999999999E-2</v>
      </c>
      <c r="F30" s="54">
        <f t="shared" si="7"/>
        <v>1.5192300000000001</v>
      </c>
      <c r="G30" s="58">
        <f t="shared" si="6"/>
        <v>1110</v>
      </c>
      <c r="H30" s="5">
        <v>1110</v>
      </c>
      <c r="I30" s="5">
        <v>0</v>
      </c>
      <c r="J30" s="5">
        <v>508.01</v>
      </c>
      <c r="K30" s="58">
        <f t="shared" si="0"/>
        <v>1838.2683000000002</v>
      </c>
      <c r="L30" s="58">
        <f t="shared" si="10"/>
        <v>1117.0164700000003</v>
      </c>
      <c r="M30" s="78">
        <f t="shared" si="2"/>
        <v>213.24183000000002</v>
      </c>
      <c r="N30" s="78">
        <f t="shared" si="8"/>
        <v>183.82683000000003</v>
      </c>
      <c r="O30" s="78">
        <f t="shared" si="9"/>
        <v>29.414999999999999</v>
      </c>
      <c r="P30" s="71">
        <f t="shared" si="5"/>
        <v>1.0063211441441444</v>
      </c>
    </row>
    <row r="31" spans="1:16" ht="15.75" customHeight="1" x14ac:dyDescent="0.35">
      <c r="A31" s="75">
        <v>46204</v>
      </c>
      <c r="B31" s="77">
        <v>1374</v>
      </c>
      <c r="C31" s="5">
        <v>0.47527000000000003</v>
      </c>
      <c r="D31" s="5">
        <v>1.0498099999999999</v>
      </c>
      <c r="E31" s="85">
        <v>2.7019999999999999E-2</v>
      </c>
      <c r="F31" s="54">
        <f t="shared" si="7"/>
        <v>1.5521</v>
      </c>
      <c r="G31" s="58">
        <f t="shared" si="6"/>
        <v>1274</v>
      </c>
      <c r="H31" s="5">
        <v>1274</v>
      </c>
      <c r="I31" s="5">
        <v>0</v>
      </c>
      <c r="J31" s="5">
        <v>557.84</v>
      </c>
      <c r="K31" s="58">
        <f t="shared" si="0"/>
        <v>2132.5853999999999</v>
      </c>
      <c r="L31" s="58">
        <f t="shared" si="10"/>
        <v>1327.0633799999998</v>
      </c>
      <c r="M31" s="78">
        <f t="shared" si="2"/>
        <v>247.68202000000002</v>
      </c>
      <c r="N31" s="78">
        <f t="shared" si="8"/>
        <v>213.25854000000001</v>
      </c>
      <c r="O31" s="78">
        <f t="shared" si="9"/>
        <v>34.423479999999998</v>
      </c>
      <c r="P31" s="71">
        <f t="shared" si="5"/>
        <v>1.0416510047095759</v>
      </c>
    </row>
    <row r="32" spans="1:16" ht="15.75" customHeight="1" x14ac:dyDescent="0.35">
      <c r="A32" s="75">
        <v>46235</v>
      </c>
      <c r="B32" s="77">
        <v>1121</v>
      </c>
      <c r="C32" s="5">
        <v>0.44779999999999998</v>
      </c>
      <c r="D32" s="5">
        <v>0.99529999999999996</v>
      </c>
      <c r="E32" s="85">
        <v>2.563E-2</v>
      </c>
      <c r="F32" s="54">
        <f t="shared" ref="F32" si="11">SUM(C32:E32)</f>
        <v>1.4687299999999999</v>
      </c>
      <c r="G32" s="58">
        <f t="shared" ref="G32" si="12">H32+I32</f>
        <v>1021</v>
      </c>
      <c r="H32" s="5">
        <v>1021</v>
      </c>
      <c r="I32" s="5">
        <v>0</v>
      </c>
      <c r="J32" s="5">
        <v>472.7</v>
      </c>
      <c r="K32" s="58">
        <f t="shared" ref="K32" si="13">B32*F32</f>
        <v>1646.4463299999998</v>
      </c>
      <c r="L32" s="58">
        <f t="shared" ref="L32" si="14">K32-J32-M32</f>
        <v>982.93346699999972</v>
      </c>
      <c r="M32" s="78">
        <f t="shared" ref="M32" si="15">SUM(N32:O32)</f>
        <v>190.81286299999999</v>
      </c>
      <c r="N32" s="78">
        <f t="shared" ref="N32" si="16">K32*0.1</f>
        <v>164.644633</v>
      </c>
      <c r="O32" s="78">
        <f t="shared" ref="O32" si="17">G32*E32</f>
        <v>26.168230000000001</v>
      </c>
      <c r="P32" s="71">
        <f t="shared" ref="P32" si="18">L32/G32</f>
        <v>0.96271642213516129</v>
      </c>
    </row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511811024" right="0.511811024" top="0.78740157499999996" bottom="0.78740157499999996" header="0" footer="0"/>
  <pageSetup orientation="landscape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ilha14"/>
  <dimension ref="A1:S999"/>
  <sheetViews>
    <sheetView workbookViewId="0">
      <pane xSplit="1" ySplit="1" topLeftCell="B12" activePane="bottomRight" state="frozen"/>
      <selection pane="topRight" activeCell="B1" sqref="B1"/>
      <selection pane="bottomLeft" activeCell="A2" sqref="A2"/>
      <selection pane="bottomRight" activeCell="A28" sqref="A28"/>
    </sheetView>
  </sheetViews>
  <sheetFormatPr defaultColWidth="14.453125" defaultRowHeight="15" customHeight="1" x14ac:dyDescent="0.35"/>
  <cols>
    <col min="1" max="1" width="17.26953125" customWidth="1"/>
    <col min="2" max="5" width="15.26953125" customWidth="1"/>
    <col min="6" max="6" width="15" customWidth="1"/>
    <col min="7" max="8" width="23.7265625" customWidth="1"/>
    <col min="9" max="9" width="27" customWidth="1"/>
    <col min="10" max="10" width="23.81640625" customWidth="1"/>
    <col min="11" max="13" width="10.54296875" customWidth="1"/>
    <col min="14" max="14" width="17.54296875" customWidth="1"/>
    <col min="15" max="15" width="22" customWidth="1"/>
    <col min="16" max="16" width="26.26953125" customWidth="1"/>
    <col min="17" max="17" width="10.54296875" customWidth="1"/>
    <col min="18" max="18" width="8.7265625" customWidth="1"/>
    <col min="19" max="19" width="16.81640625" customWidth="1"/>
  </cols>
  <sheetData>
    <row r="1" spans="1:19" ht="14.5" x14ac:dyDescent="0.35">
      <c r="A1" s="50" t="s">
        <v>75</v>
      </c>
      <c r="B1" s="50" t="s">
        <v>179</v>
      </c>
      <c r="C1" s="50" t="s">
        <v>173</v>
      </c>
      <c r="D1" s="50" t="s">
        <v>174</v>
      </c>
      <c r="E1" s="50" t="s">
        <v>175</v>
      </c>
      <c r="F1" s="50" t="s">
        <v>191</v>
      </c>
      <c r="G1" s="50" t="s">
        <v>201</v>
      </c>
      <c r="H1" s="50" t="s">
        <v>202</v>
      </c>
      <c r="I1" s="50" t="s">
        <v>203</v>
      </c>
      <c r="J1" s="50" t="s">
        <v>183</v>
      </c>
      <c r="K1" s="50" t="s">
        <v>184</v>
      </c>
      <c r="L1" s="50" t="s">
        <v>185</v>
      </c>
      <c r="M1" s="50" t="s">
        <v>204</v>
      </c>
      <c r="N1" s="50" t="s">
        <v>205</v>
      </c>
      <c r="O1" s="50" t="s">
        <v>206</v>
      </c>
      <c r="P1" s="50" t="s">
        <v>196</v>
      </c>
      <c r="S1" s="12" t="s">
        <v>207</v>
      </c>
    </row>
    <row r="2" spans="1:19" ht="14.5" x14ac:dyDescent="0.35">
      <c r="A2" s="62">
        <v>45444</v>
      </c>
      <c r="B2" s="86">
        <v>11322</v>
      </c>
      <c r="C2" s="87">
        <v>0.40966000000000002</v>
      </c>
      <c r="D2" s="87">
        <v>0.86589000000000005</v>
      </c>
      <c r="E2" s="87">
        <v>0</v>
      </c>
      <c r="F2" s="88">
        <f>SUM(C2:E2)</f>
        <v>1.27555</v>
      </c>
      <c r="G2" s="89">
        <f t="shared" ref="G2:G27" si="0">H2+I2</f>
        <v>984.55</v>
      </c>
      <c r="H2" s="90">
        <v>0</v>
      </c>
      <c r="I2" s="87">
        <v>984.55</v>
      </c>
      <c r="J2" s="91">
        <v>13472.31</v>
      </c>
      <c r="K2" s="92">
        <f t="shared" ref="K2:K27" si="1">B2*F2</f>
        <v>14441.777099999999</v>
      </c>
      <c r="L2" s="93">
        <v>0</v>
      </c>
      <c r="M2" s="94">
        <f t="shared" ref="M2:M3" si="2">SUM(N2:O2)+L2</f>
        <v>969.46709999999985</v>
      </c>
      <c r="N2" s="94">
        <f t="shared" ref="N2:N3" si="3">MIN(K2*0.1,K2-J2)</f>
        <v>969.46709999999985</v>
      </c>
      <c r="O2" s="94">
        <f t="shared" ref="O2:O26" si="4">G2*E2</f>
        <v>0</v>
      </c>
      <c r="P2" s="95">
        <f t="shared" ref="P2:P26" si="5">L2/G2</f>
        <v>0</v>
      </c>
      <c r="Q2" s="21">
        <f t="shared" ref="Q2:Q26" si="6">J2+L2</f>
        <v>13472.31</v>
      </c>
      <c r="R2" s="7">
        <f t="shared" ref="R2:R27" si="7">90%*K2</f>
        <v>12997.599389999999</v>
      </c>
      <c r="S2" s="7"/>
    </row>
    <row r="3" spans="1:19" ht="14.5" x14ac:dyDescent="0.35">
      <c r="A3" s="62">
        <v>45474</v>
      </c>
      <c r="B3" s="86">
        <v>10987</v>
      </c>
      <c r="C3" s="87"/>
      <c r="D3" s="87"/>
      <c r="E3" s="87"/>
      <c r="F3" s="57">
        <v>1.26261</v>
      </c>
      <c r="G3" s="89">
        <f t="shared" si="0"/>
        <v>891.8</v>
      </c>
      <c r="H3" s="90"/>
      <c r="I3" s="57">
        <v>891.8</v>
      </c>
      <c r="J3" s="96">
        <f>K3-0.98*G3</f>
        <v>12998.33207</v>
      </c>
      <c r="K3" s="92">
        <f t="shared" si="1"/>
        <v>13872.29607</v>
      </c>
      <c r="L3" s="93">
        <v>0</v>
      </c>
      <c r="M3" s="94">
        <f t="shared" si="2"/>
        <v>873.96399999999994</v>
      </c>
      <c r="N3" s="94">
        <f t="shared" si="3"/>
        <v>873.96399999999994</v>
      </c>
      <c r="O3" s="94">
        <f t="shared" si="4"/>
        <v>0</v>
      </c>
      <c r="P3" s="95">
        <f t="shared" si="5"/>
        <v>0</v>
      </c>
      <c r="Q3" s="21">
        <f t="shared" si="6"/>
        <v>12998.33207</v>
      </c>
      <c r="R3" s="7">
        <f t="shared" si="7"/>
        <v>12485.066463000001</v>
      </c>
    </row>
    <row r="4" spans="1:19" ht="14.5" x14ac:dyDescent="0.35">
      <c r="A4" s="62">
        <v>45505</v>
      </c>
      <c r="B4" s="86">
        <v>10984</v>
      </c>
      <c r="C4" s="87">
        <v>0.40062999999999999</v>
      </c>
      <c r="D4" s="87">
        <v>0.84680999999999995</v>
      </c>
      <c r="E4" s="87">
        <v>4.8300000000000001E-3</v>
      </c>
      <c r="F4" s="88">
        <f t="shared" ref="F4:F27" si="8">SUM(C4:E4)</f>
        <v>1.2522699999999998</v>
      </c>
      <c r="G4" s="89">
        <f t="shared" si="0"/>
        <v>1810.55</v>
      </c>
      <c r="H4" s="90">
        <v>0</v>
      </c>
      <c r="I4" s="87">
        <v>1810.55</v>
      </c>
      <c r="J4" s="91">
        <v>11937.23</v>
      </c>
      <c r="K4" s="92">
        <f t="shared" si="1"/>
        <v>13754.933679999998</v>
      </c>
      <c r="L4" s="97">
        <f t="shared" ref="L4:L6" si="9">90%*K4-J4</f>
        <v>442.21031199999925</v>
      </c>
      <c r="M4" s="94">
        <f t="shared" ref="M4:M12" si="10">SUM(N4:O4)</f>
        <v>1384.2383244999999</v>
      </c>
      <c r="N4" s="94">
        <f t="shared" ref="N4:N26" si="11">K4*0.1</f>
        <v>1375.4933679999999</v>
      </c>
      <c r="O4" s="94">
        <f t="shared" si="4"/>
        <v>8.7449565000000007</v>
      </c>
      <c r="P4" s="95">
        <f t="shared" si="5"/>
        <v>0.24424087266300254</v>
      </c>
      <c r="Q4" s="21">
        <f t="shared" si="6"/>
        <v>12379.440311999999</v>
      </c>
      <c r="R4" s="7">
        <f t="shared" si="7"/>
        <v>12379.440311999999</v>
      </c>
      <c r="S4" s="21">
        <f>('Faturamento Laura Jardim'!P8-P4)*G4</f>
        <v>1087.0389315500004</v>
      </c>
    </row>
    <row r="5" spans="1:19" ht="14.5" x14ac:dyDescent="0.35">
      <c r="A5" s="62">
        <v>45536</v>
      </c>
      <c r="B5" s="86">
        <v>11603</v>
      </c>
      <c r="C5" s="87">
        <v>0.40805000000000002</v>
      </c>
      <c r="D5" s="87">
        <v>0.86248000000000002</v>
      </c>
      <c r="E5" s="87">
        <v>5.1470000000000002E-2</v>
      </c>
      <c r="F5" s="98">
        <f t="shared" si="8"/>
        <v>1.3219999999999998</v>
      </c>
      <c r="G5" s="89">
        <f t="shared" si="0"/>
        <v>2413.6</v>
      </c>
      <c r="H5" s="90">
        <v>0</v>
      </c>
      <c r="I5" s="87">
        <v>2413.6</v>
      </c>
      <c r="J5" s="91">
        <v>12732.36</v>
      </c>
      <c r="K5" s="92">
        <f t="shared" si="1"/>
        <v>15339.165999999997</v>
      </c>
      <c r="L5" s="97">
        <f t="shared" si="9"/>
        <v>1072.8893999999982</v>
      </c>
      <c r="M5" s="94">
        <f t="shared" si="10"/>
        <v>1658.1445919999999</v>
      </c>
      <c r="N5" s="94">
        <f t="shared" si="11"/>
        <v>1533.9165999999998</v>
      </c>
      <c r="O5" s="94">
        <f t="shared" si="4"/>
        <v>124.227992</v>
      </c>
      <c r="P5" s="95">
        <f t="shared" si="5"/>
        <v>0.44451831289360216</v>
      </c>
      <c r="Q5" s="21">
        <f t="shared" si="6"/>
        <v>13805.249399999999</v>
      </c>
      <c r="R5" s="7">
        <f t="shared" si="7"/>
        <v>13805.249399999999</v>
      </c>
      <c r="S5" s="21">
        <f>('Faturamento Laura Jardim'!P9-P5)*G5</f>
        <v>1110.5321305983487</v>
      </c>
    </row>
    <row r="6" spans="1:19" ht="14.5" x14ac:dyDescent="0.35">
      <c r="A6" s="62">
        <v>45566</v>
      </c>
      <c r="B6" s="86">
        <v>11685</v>
      </c>
      <c r="C6" s="87">
        <v>0.40903</v>
      </c>
      <c r="D6" s="87">
        <v>0.86456999999999995</v>
      </c>
      <c r="E6" s="87">
        <v>0.10196</v>
      </c>
      <c r="F6" s="98">
        <f t="shared" si="8"/>
        <v>1.3755600000000001</v>
      </c>
      <c r="G6" s="89">
        <f t="shared" si="0"/>
        <v>2096</v>
      </c>
      <c r="H6" s="90">
        <v>0</v>
      </c>
      <c r="I6" s="87">
        <f>863+1233</f>
        <v>2096</v>
      </c>
      <c r="J6" s="91">
        <v>13707.63</v>
      </c>
      <c r="K6" s="92">
        <f t="shared" si="1"/>
        <v>16073.418600000001</v>
      </c>
      <c r="L6" s="97">
        <f t="shared" si="9"/>
        <v>758.44674000000123</v>
      </c>
      <c r="M6" s="94">
        <f t="shared" si="10"/>
        <v>1821.0500200000001</v>
      </c>
      <c r="N6" s="94">
        <f t="shared" si="11"/>
        <v>1607.3418600000002</v>
      </c>
      <c r="O6" s="94">
        <f t="shared" si="4"/>
        <v>213.70815999999999</v>
      </c>
      <c r="P6" s="95">
        <f t="shared" si="5"/>
        <v>0.36185436068702348</v>
      </c>
      <c r="Q6" s="21">
        <f t="shared" si="6"/>
        <v>14466.07674</v>
      </c>
      <c r="R6" s="7">
        <f t="shared" si="7"/>
        <v>14466.07674</v>
      </c>
      <c r="S6" s="21">
        <f>('Faturamento Laura Jardim'!P10-P6)*G6</f>
        <v>1226.9475594764385</v>
      </c>
    </row>
    <row r="7" spans="1:19" ht="14.5" x14ac:dyDescent="0.35">
      <c r="A7" s="62">
        <v>45597</v>
      </c>
      <c r="B7" s="86">
        <v>10678</v>
      </c>
      <c r="C7" s="87">
        <v>0.40334999999999999</v>
      </c>
      <c r="D7" s="87">
        <v>0.85257000000000005</v>
      </c>
      <c r="E7" s="87">
        <f>0.02105+0.02107</f>
        <v>4.2119999999999998E-2</v>
      </c>
      <c r="F7" s="98">
        <f t="shared" si="8"/>
        <v>1.2980400000000001</v>
      </c>
      <c r="G7" s="89">
        <f t="shared" si="0"/>
        <v>2076</v>
      </c>
      <c r="H7" s="90">
        <v>0</v>
      </c>
      <c r="I7" s="87">
        <v>2076</v>
      </c>
      <c r="J7" s="91">
        <v>11665.79</v>
      </c>
      <c r="K7" s="92">
        <f t="shared" si="1"/>
        <v>13860.47112</v>
      </c>
      <c r="L7" s="97">
        <f t="shared" ref="L7:L12" si="12">K7-J7-M7</f>
        <v>721.19288799999913</v>
      </c>
      <c r="M7" s="94">
        <f t="shared" si="10"/>
        <v>1473.4882320000002</v>
      </c>
      <c r="N7" s="94">
        <f t="shared" si="11"/>
        <v>1386.0471120000002</v>
      </c>
      <c r="O7" s="94">
        <f t="shared" si="4"/>
        <v>87.441119999999998</v>
      </c>
      <c r="P7" s="95">
        <f t="shared" si="5"/>
        <v>0.34739541811175295</v>
      </c>
      <c r="Q7" s="21">
        <f t="shared" si="6"/>
        <v>12386.982888</v>
      </c>
      <c r="R7" s="7">
        <f t="shared" si="7"/>
        <v>12474.424008</v>
      </c>
      <c r="S7" s="21">
        <f>('Faturamento Laura Jardim'!P11-P7)*G7</f>
        <v>679.58981503527571</v>
      </c>
    </row>
    <row r="8" spans="1:19" ht="15" customHeight="1" x14ac:dyDescent="0.35">
      <c r="A8" s="62">
        <v>45627</v>
      </c>
      <c r="B8" s="86">
        <v>12484</v>
      </c>
      <c r="C8" s="87">
        <v>0.40233999999999998</v>
      </c>
      <c r="D8" s="87">
        <v>0.85041</v>
      </c>
      <c r="E8" s="87">
        <v>3.4299999999999999E-3</v>
      </c>
      <c r="F8" s="98">
        <f t="shared" si="8"/>
        <v>1.2561800000000001</v>
      </c>
      <c r="G8" s="89">
        <f t="shared" si="0"/>
        <v>2382</v>
      </c>
      <c r="H8" s="90">
        <v>0</v>
      </c>
      <c r="I8" s="87">
        <v>2382</v>
      </c>
      <c r="J8" s="91">
        <v>13258.7</v>
      </c>
      <c r="K8" s="92">
        <f t="shared" si="1"/>
        <v>15682.15112</v>
      </c>
      <c r="L8" s="97">
        <f t="shared" si="12"/>
        <v>847.06574799999953</v>
      </c>
      <c r="M8" s="94">
        <f t="shared" si="10"/>
        <v>1576.3853720000002</v>
      </c>
      <c r="N8" s="94">
        <f t="shared" si="11"/>
        <v>1568.2151120000001</v>
      </c>
      <c r="O8" s="94">
        <f t="shared" si="4"/>
        <v>8.170259999999999</v>
      </c>
      <c r="P8" s="95">
        <f t="shared" si="5"/>
        <v>0.35561114525608711</v>
      </c>
      <c r="Q8" s="21">
        <f t="shared" si="6"/>
        <v>14105.765748</v>
      </c>
      <c r="R8" s="7">
        <f t="shared" si="7"/>
        <v>14113.936008000001</v>
      </c>
      <c r="S8" s="21">
        <f>('Faturamento Laura Jardim'!P12-P8)*G8</f>
        <v>1178.6378099175106</v>
      </c>
    </row>
    <row r="9" spans="1:19" ht="15" customHeight="1" x14ac:dyDescent="0.35">
      <c r="A9" s="62">
        <v>45658</v>
      </c>
      <c r="B9" s="86">
        <v>10728</v>
      </c>
      <c r="C9" s="87">
        <v>0.41265000000000002</v>
      </c>
      <c r="D9" s="87">
        <v>0.87222</v>
      </c>
      <c r="E9" s="87">
        <v>0</v>
      </c>
      <c r="F9" s="98">
        <f t="shared" si="8"/>
        <v>1.28487</v>
      </c>
      <c r="G9" s="89">
        <f t="shared" si="0"/>
        <v>3545</v>
      </c>
      <c r="H9" s="90">
        <v>0</v>
      </c>
      <c r="I9" s="87">
        <f>1228+2317</f>
        <v>3545</v>
      </c>
      <c r="J9" s="91">
        <v>10053.61</v>
      </c>
      <c r="K9" s="92">
        <f t="shared" si="1"/>
        <v>13784.085359999999</v>
      </c>
      <c r="L9" s="97">
        <f t="shared" si="12"/>
        <v>2352.0668239999986</v>
      </c>
      <c r="M9" s="94">
        <f t="shared" si="10"/>
        <v>1378.4085359999999</v>
      </c>
      <c r="N9" s="94">
        <f t="shared" si="11"/>
        <v>1378.4085359999999</v>
      </c>
      <c r="O9" s="94">
        <f t="shared" si="4"/>
        <v>0</v>
      </c>
      <c r="P9" s="95">
        <f t="shared" si="5"/>
        <v>0.66348852581100104</v>
      </c>
      <c r="Q9" s="21">
        <f t="shared" si="6"/>
        <v>12405.676823999998</v>
      </c>
      <c r="R9" s="7">
        <f t="shared" si="7"/>
        <v>12405.676824</v>
      </c>
      <c r="S9" s="21">
        <f>('Faturamento Laura Jardim'!P13-P9)*G9</f>
        <v>706.47202648648829</v>
      </c>
    </row>
    <row r="10" spans="1:19" ht="15" customHeight="1" x14ac:dyDescent="0.35">
      <c r="A10" s="62">
        <v>45689</v>
      </c>
      <c r="B10" s="86">
        <v>10516</v>
      </c>
      <c r="C10" s="87">
        <v>0.41481000000000001</v>
      </c>
      <c r="D10" s="87">
        <v>0.87678</v>
      </c>
      <c r="E10" s="87">
        <v>0</v>
      </c>
      <c r="F10" s="98">
        <f t="shared" si="8"/>
        <v>1.29159</v>
      </c>
      <c r="G10" s="89">
        <f t="shared" si="0"/>
        <v>3451</v>
      </c>
      <c r="H10" s="90">
        <v>0</v>
      </c>
      <c r="I10" s="87">
        <f>1334+2117</f>
        <v>3451</v>
      </c>
      <c r="J10" s="91">
        <v>9932.6200000000008</v>
      </c>
      <c r="K10" s="92">
        <f t="shared" si="1"/>
        <v>13582.36044</v>
      </c>
      <c r="L10" s="97">
        <f t="shared" si="12"/>
        <v>2291.5043959999994</v>
      </c>
      <c r="M10" s="94">
        <f t="shared" si="10"/>
        <v>1358.2360440000002</v>
      </c>
      <c r="N10" s="94">
        <f t="shared" si="11"/>
        <v>1358.2360440000002</v>
      </c>
      <c r="O10" s="94">
        <f t="shared" si="4"/>
        <v>0</v>
      </c>
      <c r="P10" s="95">
        <f t="shared" si="5"/>
        <v>0.66401170559258171</v>
      </c>
      <c r="Q10" s="21">
        <f t="shared" si="6"/>
        <v>12224.124395999999</v>
      </c>
      <c r="R10" s="7">
        <f t="shared" si="7"/>
        <v>12224.124396000001</v>
      </c>
      <c r="S10" s="21">
        <f>('Faturamento Laura Jardim'!P14-P10)*G10</f>
        <v>733.19529671693556</v>
      </c>
    </row>
    <row r="11" spans="1:19" ht="15" customHeight="1" x14ac:dyDescent="0.35">
      <c r="A11" s="62">
        <v>45717</v>
      </c>
      <c r="B11" s="86">
        <v>10469</v>
      </c>
      <c r="C11" s="87">
        <v>0.38775999999999999</v>
      </c>
      <c r="D11" s="87">
        <v>0.82584999999999997</v>
      </c>
      <c r="E11" s="87">
        <v>0</v>
      </c>
      <c r="F11" s="98">
        <f t="shared" si="8"/>
        <v>1.2136100000000001</v>
      </c>
      <c r="G11" s="89">
        <f t="shared" si="0"/>
        <v>2984</v>
      </c>
      <c r="H11" s="90">
        <v>0</v>
      </c>
      <c r="I11" s="87">
        <f>1217+1767</f>
        <v>2984</v>
      </c>
      <c r="J11" s="91">
        <v>9755.9500000000007</v>
      </c>
      <c r="K11" s="92">
        <f t="shared" si="1"/>
        <v>12705.283090000001</v>
      </c>
      <c r="L11" s="97">
        <f t="shared" si="12"/>
        <v>1678.8047809999998</v>
      </c>
      <c r="M11" s="94">
        <f t="shared" si="10"/>
        <v>1270.5283090000003</v>
      </c>
      <c r="N11" s="94">
        <f t="shared" si="11"/>
        <v>1270.5283090000003</v>
      </c>
      <c r="O11" s="94">
        <f t="shared" si="4"/>
        <v>0</v>
      </c>
      <c r="P11" s="95">
        <f t="shared" si="5"/>
        <v>0.56260213840482565</v>
      </c>
      <c r="Q11" s="21">
        <f t="shared" si="6"/>
        <v>11434.754781</v>
      </c>
      <c r="R11" s="7">
        <f t="shared" si="7"/>
        <v>11434.754781000001</v>
      </c>
      <c r="S11" s="21">
        <f>('Faturamento Laura Jardim'!P15-P11)*G11</f>
        <v>756.12275313266252</v>
      </c>
    </row>
    <row r="12" spans="1:19" ht="15" customHeight="1" x14ac:dyDescent="0.35">
      <c r="A12" s="62">
        <v>45748</v>
      </c>
      <c r="B12" s="86">
        <v>10761</v>
      </c>
      <c r="C12" s="87">
        <v>0.39471000000000001</v>
      </c>
      <c r="D12" s="87">
        <v>0.85016999999999998</v>
      </c>
      <c r="E12" s="87">
        <v>0</v>
      </c>
      <c r="F12" s="98">
        <f t="shared" si="8"/>
        <v>1.24488</v>
      </c>
      <c r="G12" s="89">
        <f t="shared" si="0"/>
        <v>1453.9</v>
      </c>
      <c r="H12" s="90">
        <v>0</v>
      </c>
      <c r="I12" s="87">
        <v>1453.9</v>
      </c>
      <c r="J12" s="91">
        <v>11964.74</v>
      </c>
      <c r="K12" s="92">
        <f t="shared" si="1"/>
        <v>13396.153679999999</v>
      </c>
      <c r="L12" s="97">
        <f t="shared" si="12"/>
        <v>91.798311999999669</v>
      </c>
      <c r="M12" s="94">
        <f t="shared" si="10"/>
        <v>1339.615368</v>
      </c>
      <c r="N12" s="94">
        <f t="shared" si="11"/>
        <v>1339.615368</v>
      </c>
      <c r="O12" s="94">
        <f t="shared" si="4"/>
        <v>0</v>
      </c>
      <c r="P12" s="95">
        <f t="shared" si="5"/>
        <v>6.3139357589930306E-2</v>
      </c>
      <c r="Q12" s="21">
        <f t="shared" si="6"/>
        <v>12056.538311999999</v>
      </c>
      <c r="R12" s="7">
        <f t="shared" si="7"/>
        <v>12056.538312000001</v>
      </c>
      <c r="S12" s="21">
        <f>('Faturamento Laura Jardim'!P16-P12)*G12</f>
        <v>1125.5148818244506</v>
      </c>
    </row>
    <row r="13" spans="1:19" ht="15" customHeight="1" x14ac:dyDescent="0.35">
      <c r="A13" s="62">
        <v>45778</v>
      </c>
      <c r="B13" s="86">
        <v>12139</v>
      </c>
      <c r="C13" s="87">
        <v>0.41171099999999999</v>
      </c>
      <c r="D13" s="87">
        <v>0.89842</v>
      </c>
      <c r="E13" s="87">
        <v>2.2460000000000001E-2</v>
      </c>
      <c r="F13" s="98">
        <f t="shared" si="8"/>
        <v>1.3325909999999999</v>
      </c>
      <c r="G13" s="89">
        <f t="shared" si="0"/>
        <v>1557.15</v>
      </c>
      <c r="H13" s="90">
        <v>0</v>
      </c>
      <c r="I13" s="90">
        <v>1557.15</v>
      </c>
      <c r="J13" s="91">
        <v>14576.34</v>
      </c>
      <c r="K13" s="92">
        <f t="shared" si="1"/>
        <v>16176.322148999998</v>
      </c>
      <c r="L13" s="97">
        <f t="shared" ref="L13:L26" si="13">MAX(K13-J13-M13,0)</f>
        <v>0</v>
      </c>
      <c r="M13" s="94">
        <f t="shared" ref="M13:M26" si="14">MIN(SUM(N13:O13),K13-J13)</f>
        <v>1599.9821489999977</v>
      </c>
      <c r="N13" s="94">
        <f t="shared" si="11"/>
        <v>1617.6322148999998</v>
      </c>
      <c r="O13" s="94">
        <f t="shared" si="4"/>
        <v>34.973589000000004</v>
      </c>
      <c r="P13" s="95">
        <f t="shared" si="5"/>
        <v>0</v>
      </c>
      <c r="Q13" s="21">
        <f t="shared" si="6"/>
        <v>14576.34</v>
      </c>
      <c r="R13" s="7">
        <f t="shared" si="7"/>
        <v>14558.689934099999</v>
      </c>
      <c r="S13" s="21">
        <f>('Faturamento Laura Jardim'!P17-P13)*G13</f>
        <v>1380.9203908028285</v>
      </c>
    </row>
    <row r="14" spans="1:19" ht="15" customHeight="1" x14ac:dyDescent="0.35">
      <c r="A14" s="62">
        <v>45809</v>
      </c>
      <c r="B14" s="86">
        <v>9332</v>
      </c>
      <c r="C14" s="87">
        <v>0.41427999999999998</v>
      </c>
      <c r="D14" s="87">
        <v>0.89232999999999996</v>
      </c>
      <c r="E14" s="87">
        <f>0.00442+0.0525</f>
        <v>5.6919999999999998E-2</v>
      </c>
      <c r="F14" s="98">
        <f t="shared" si="8"/>
        <v>1.3635300000000001</v>
      </c>
      <c r="G14" s="89">
        <f t="shared" si="0"/>
        <v>1644.28</v>
      </c>
      <c r="H14" s="90">
        <v>0</v>
      </c>
      <c r="I14" s="90">
        <v>1644.28</v>
      </c>
      <c r="J14" s="91">
        <v>10915.6</v>
      </c>
      <c r="K14" s="92">
        <f t="shared" si="1"/>
        <v>12724.461960000001</v>
      </c>
      <c r="L14" s="97">
        <f t="shared" si="13"/>
        <v>442.82334639999999</v>
      </c>
      <c r="M14" s="94">
        <f t="shared" si="14"/>
        <v>1366.0386136000002</v>
      </c>
      <c r="N14" s="94">
        <f t="shared" si="11"/>
        <v>1272.4461960000001</v>
      </c>
      <c r="O14" s="94">
        <f t="shared" si="4"/>
        <v>93.59241759999999</v>
      </c>
      <c r="P14" s="95">
        <f t="shared" si="5"/>
        <v>0.26931139854525993</v>
      </c>
      <c r="Q14" s="21">
        <f t="shared" si="6"/>
        <v>11358.423346400001</v>
      </c>
      <c r="R14" s="7">
        <f t="shared" si="7"/>
        <v>11452.015764000002</v>
      </c>
      <c r="S14" s="21">
        <f>('Faturamento Laura Jardim'!P18-P14)*G14</f>
        <v>991.67151491573043</v>
      </c>
    </row>
    <row r="15" spans="1:19" ht="15" customHeight="1" x14ac:dyDescent="0.35">
      <c r="A15" s="62">
        <v>45839</v>
      </c>
      <c r="B15" s="86">
        <v>7532</v>
      </c>
      <c r="C15" s="87">
        <v>0.40605999999999998</v>
      </c>
      <c r="D15" s="87">
        <v>0.87463000000000002</v>
      </c>
      <c r="E15" s="87">
        <v>6.1760000000000002E-2</v>
      </c>
      <c r="F15" s="98">
        <f t="shared" si="8"/>
        <v>1.3424499999999999</v>
      </c>
      <c r="G15" s="89">
        <f t="shared" si="0"/>
        <v>1691.8</v>
      </c>
      <c r="H15" s="90">
        <v>0</v>
      </c>
      <c r="I15" s="90">
        <v>1691.8</v>
      </c>
      <c r="J15" s="91">
        <v>8276.85</v>
      </c>
      <c r="K15" s="92">
        <f t="shared" si="1"/>
        <v>10111.3334</v>
      </c>
      <c r="L15" s="97">
        <f t="shared" si="13"/>
        <v>718.86449199999925</v>
      </c>
      <c r="M15" s="94">
        <f t="shared" si="14"/>
        <v>1115.6189079999999</v>
      </c>
      <c r="N15" s="94">
        <f t="shared" si="11"/>
        <v>1011.13334</v>
      </c>
      <c r="O15" s="94">
        <f t="shared" si="4"/>
        <v>104.485568</v>
      </c>
      <c r="P15" s="95">
        <f t="shared" si="5"/>
        <v>0.42491103676557468</v>
      </c>
      <c r="Q15" s="21">
        <f t="shared" si="6"/>
        <v>8995.7144919999992</v>
      </c>
      <c r="R15" s="7">
        <f t="shared" si="7"/>
        <v>9100.2000599999992</v>
      </c>
      <c r="S15" s="21">
        <f>('Faturamento Laura Jardim'!P19-P15)*G15</f>
        <v>726.32910204529696</v>
      </c>
    </row>
    <row r="16" spans="1:19" ht="15" customHeight="1" x14ac:dyDescent="0.35">
      <c r="A16" s="62">
        <v>45870</v>
      </c>
      <c r="B16" s="86">
        <v>8054</v>
      </c>
      <c r="C16" s="87">
        <v>0.39750000000000002</v>
      </c>
      <c r="D16" s="87">
        <v>0.85619000000000001</v>
      </c>
      <c r="E16" s="87">
        <v>9.8040000000000002E-2</v>
      </c>
      <c r="F16" s="98">
        <f t="shared" si="8"/>
        <v>1.3517299999999999</v>
      </c>
      <c r="G16" s="89">
        <f t="shared" si="0"/>
        <v>2235</v>
      </c>
      <c r="H16" s="90">
        <v>0</v>
      </c>
      <c r="I16" s="90">
        <v>2235</v>
      </c>
      <c r="J16" s="91">
        <v>8406.73</v>
      </c>
      <c r="K16" s="92">
        <f t="shared" si="1"/>
        <v>10886.833419999999</v>
      </c>
      <c r="L16" s="97">
        <f t="shared" si="13"/>
        <v>1172.3006779999994</v>
      </c>
      <c r="M16" s="94">
        <f t="shared" si="14"/>
        <v>1307.8027420000001</v>
      </c>
      <c r="N16" s="94">
        <f t="shared" si="11"/>
        <v>1088.683342</v>
      </c>
      <c r="O16" s="94">
        <f t="shared" si="4"/>
        <v>219.11940000000001</v>
      </c>
      <c r="P16" s="95">
        <f t="shared" si="5"/>
        <v>0.52451931901565962</v>
      </c>
      <c r="Q16" s="21">
        <f t="shared" si="6"/>
        <v>9579.0306779999992</v>
      </c>
      <c r="R16" s="7">
        <f t="shared" si="7"/>
        <v>9798.1500779999988</v>
      </c>
      <c r="S16" s="21">
        <f>('Faturamento Laura Jardim'!P20-P16)*G16</f>
        <v>679.40711408591756</v>
      </c>
    </row>
    <row r="17" spans="1:19" ht="15" customHeight="1" x14ac:dyDescent="0.35">
      <c r="A17" s="62">
        <v>45901</v>
      </c>
      <c r="B17" s="86">
        <v>7676</v>
      </c>
      <c r="C17" s="87">
        <v>0.41144999999999998</v>
      </c>
      <c r="D17" s="87">
        <v>0.88624000000000003</v>
      </c>
      <c r="E17" s="87">
        <v>0.11047</v>
      </c>
      <c r="F17" s="98">
        <f t="shared" si="8"/>
        <v>1.4081600000000001</v>
      </c>
      <c r="G17" s="89">
        <f t="shared" si="0"/>
        <v>2515</v>
      </c>
      <c r="H17" s="90">
        <v>0</v>
      </c>
      <c r="I17" s="90">
        <v>2515</v>
      </c>
      <c r="J17" s="91">
        <v>7885.09</v>
      </c>
      <c r="K17" s="92">
        <f t="shared" si="1"/>
        <v>10809.036160000001</v>
      </c>
      <c r="L17" s="97">
        <f t="shared" si="13"/>
        <v>1565.2104940000011</v>
      </c>
      <c r="M17" s="94">
        <f t="shared" si="14"/>
        <v>1358.7356660000003</v>
      </c>
      <c r="N17" s="94">
        <f t="shared" si="11"/>
        <v>1080.9036160000003</v>
      </c>
      <c r="O17" s="94">
        <f t="shared" si="4"/>
        <v>277.83204999999998</v>
      </c>
      <c r="P17" s="95">
        <f t="shared" si="5"/>
        <v>0.62235009701789301</v>
      </c>
      <c r="Q17" s="21">
        <f t="shared" si="6"/>
        <v>9450.300494000001</v>
      </c>
      <c r="R17" s="7">
        <f t="shared" si="7"/>
        <v>9728.1325440000019</v>
      </c>
      <c r="S17" s="21">
        <f>('Faturamento Laura Jardim'!P21-P17)*G17</f>
        <v>558.71365521079872</v>
      </c>
    </row>
    <row r="18" spans="1:19" ht="15" customHeight="1" x14ac:dyDescent="0.35">
      <c r="A18" s="62">
        <v>45931</v>
      </c>
      <c r="B18" s="86">
        <v>10609</v>
      </c>
      <c r="C18" s="87">
        <v>0.41105999999999998</v>
      </c>
      <c r="D18" s="87">
        <v>0.88539999999999996</v>
      </c>
      <c r="E18" s="87">
        <v>6.9989999999999997E-2</v>
      </c>
      <c r="F18" s="98">
        <f t="shared" si="8"/>
        <v>1.3664499999999999</v>
      </c>
      <c r="G18" s="89">
        <f t="shared" si="0"/>
        <v>2836</v>
      </c>
      <c r="H18" s="90">
        <v>0</v>
      </c>
      <c r="I18" s="90">
        <v>2836</v>
      </c>
      <c r="J18" s="91">
        <v>11303.77</v>
      </c>
      <c r="K18" s="92">
        <f t="shared" si="1"/>
        <v>14496.66805</v>
      </c>
      <c r="L18" s="97">
        <f t="shared" si="13"/>
        <v>1544.7396049999998</v>
      </c>
      <c r="M18" s="94">
        <f t="shared" si="14"/>
        <v>1648.158445</v>
      </c>
      <c r="N18" s="94">
        <f t="shared" si="11"/>
        <v>1449.6668050000001</v>
      </c>
      <c r="O18" s="94">
        <f t="shared" si="4"/>
        <v>198.49163999999999</v>
      </c>
      <c r="P18" s="95">
        <f t="shared" si="5"/>
        <v>0.54468956452750339</v>
      </c>
      <c r="Q18" s="21">
        <f t="shared" si="6"/>
        <v>12848.509604999999</v>
      </c>
      <c r="R18" s="7">
        <f t="shared" si="7"/>
        <v>13047.001245000001</v>
      </c>
      <c r="S18" s="21">
        <f>('Faturamento Laura Jardim'!P22-P18)*G18</f>
        <v>884.66641589393998</v>
      </c>
    </row>
    <row r="19" spans="1:19" ht="15" customHeight="1" x14ac:dyDescent="0.35">
      <c r="A19" s="62">
        <v>45962</v>
      </c>
      <c r="B19" s="86">
        <v>9731</v>
      </c>
      <c r="C19" s="87">
        <v>0.40683000000000002</v>
      </c>
      <c r="D19" s="87">
        <v>0.87629999999999997</v>
      </c>
      <c r="E19" s="87">
        <v>6.1870000000000001E-2</v>
      </c>
      <c r="F19" s="98">
        <f t="shared" si="8"/>
        <v>1.345</v>
      </c>
      <c r="G19" s="89">
        <f t="shared" si="0"/>
        <v>2951</v>
      </c>
      <c r="H19" s="90">
        <v>0</v>
      </c>
      <c r="I19" s="90">
        <v>2951</v>
      </c>
      <c r="J19" s="91">
        <v>9820.36</v>
      </c>
      <c r="K19" s="92">
        <f t="shared" si="1"/>
        <v>13088.195</v>
      </c>
      <c r="L19" s="97">
        <f t="shared" si="13"/>
        <v>1776.4371299999991</v>
      </c>
      <c r="M19" s="94">
        <f t="shared" si="14"/>
        <v>1491.39787</v>
      </c>
      <c r="N19" s="94">
        <f t="shared" si="11"/>
        <v>1308.8195000000001</v>
      </c>
      <c r="O19" s="94">
        <f t="shared" si="4"/>
        <v>182.57837000000001</v>
      </c>
      <c r="P19" s="95">
        <f t="shared" si="5"/>
        <v>0.60197801762114511</v>
      </c>
      <c r="Q19" s="21">
        <f t="shared" si="6"/>
        <v>11596.797129999999</v>
      </c>
      <c r="R19" s="7">
        <f t="shared" si="7"/>
        <v>11779.3755</v>
      </c>
      <c r="S19" s="21">
        <f>('Faturamento Laura Jardim'!P23-P19)*G19</f>
        <v>744.50151388380334</v>
      </c>
    </row>
    <row r="20" spans="1:19" ht="15.75" customHeight="1" x14ac:dyDescent="0.35">
      <c r="A20" s="62">
        <v>45992</v>
      </c>
      <c r="B20" s="86">
        <v>11919</v>
      </c>
      <c r="C20" s="87">
        <v>0.41681000000000001</v>
      </c>
      <c r="D20" s="87">
        <v>0.89776</v>
      </c>
      <c r="E20" s="87">
        <f>0.02245+0.01022</f>
        <v>3.2670000000000005E-2</v>
      </c>
      <c r="F20" s="98">
        <f t="shared" si="8"/>
        <v>1.34724</v>
      </c>
      <c r="G20" s="89">
        <f t="shared" si="0"/>
        <v>3384</v>
      </c>
      <c r="H20" s="90">
        <v>0</v>
      </c>
      <c r="I20" s="90">
        <v>3384</v>
      </c>
      <c r="J20" s="91">
        <v>12306.6</v>
      </c>
      <c r="K20" s="92">
        <f t="shared" si="1"/>
        <v>16057.753559999999</v>
      </c>
      <c r="L20" s="97">
        <f t="shared" si="13"/>
        <v>2034.8229239999987</v>
      </c>
      <c r="M20" s="94">
        <f t="shared" si="14"/>
        <v>1716.3306360000001</v>
      </c>
      <c r="N20" s="94">
        <f t="shared" si="11"/>
        <v>1605.7753560000001</v>
      </c>
      <c r="O20" s="94">
        <f t="shared" si="4"/>
        <v>110.55528000000001</v>
      </c>
      <c r="P20" s="95">
        <f t="shared" si="5"/>
        <v>0.6013070106382975</v>
      </c>
      <c r="Q20" s="21">
        <f t="shared" si="6"/>
        <v>14341.422923999999</v>
      </c>
      <c r="R20" s="7">
        <f t="shared" si="7"/>
        <v>14451.978203999999</v>
      </c>
      <c r="S20" s="21">
        <f>('Faturamento Laura Jardim'!P24-P20)*G20</f>
        <v>968.37396736977587</v>
      </c>
    </row>
    <row r="21" spans="1:19" ht="15.75" customHeight="1" x14ac:dyDescent="0.35">
      <c r="A21" s="62">
        <v>46023</v>
      </c>
      <c r="B21" s="86">
        <v>10829</v>
      </c>
      <c r="C21" s="87">
        <v>0.41593999999999998</v>
      </c>
      <c r="D21" s="87">
        <v>0.89590000000000003</v>
      </c>
      <c r="E21" s="87">
        <v>4.5999999999999999E-3</v>
      </c>
      <c r="F21" s="98">
        <f t="shared" si="8"/>
        <v>1.3164400000000001</v>
      </c>
      <c r="G21" s="89">
        <f t="shared" si="0"/>
        <v>4695</v>
      </c>
      <c r="H21" s="90">
        <v>0</v>
      </c>
      <c r="I21" s="90">
        <v>4695</v>
      </c>
      <c r="J21" s="91">
        <v>9166.39</v>
      </c>
      <c r="K21" s="92">
        <f t="shared" si="1"/>
        <v>14255.72876</v>
      </c>
      <c r="L21" s="97">
        <f t="shared" si="13"/>
        <v>3642.1688840000006</v>
      </c>
      <c r="M21" s="94">
        <f t="shared" si="14"/>
        <v>1447.1698760000002</v>
      </c>
      <c r="N21" s="94">
        <f t="shared" si="11"/>
        <v>1425.5728760000002</v>
      </c>
      <c r="O21" s="94">
        <f t="shared" si="4"/>
        <v>21.597000000000001</v>
      </c>
      <c r="P21" s="95">
        <f t="shared" si="5"/>
        <v>0.77575482087326952</v>
      </c>
      <c r="Q21" s="21">
        <f t="shared" si="6"/>
        <v>12808.558884</v>
      </c>
      <c r="R21" s="7">
        <f t="shared" si="7"/>
        <v>12830.155884</v>
      </c>
      <c r="S21" s="21">
        <f>('Faturamento Laura Jardim'!P25-P21)*G21</f>
        <v>469.14128776056248</v>
      </c>
    </row>
    <row r="22" spans="1:19" ht="15.75" customHeight="1" x14ac:dyDescent="0.35">
      <c r="A22" s="62">
        <v>46054</v>
      </c>
      <c r="B22" s="86">
        <v>10879</v>
      </c>
      <c r="C22" s="87">
        <v>0.41169</v>
      </c>
      <c r="D22" s="87">
        <v>0.88675999999999999</v>
      </c>
      <c r="E22" s="87">
        <v>0</v>
      </c>
      <c r="F22" s="98">
        <f t="shared" si="8"/>
        <v>1.2984499999999999</v>
      </c>
      <c r="G22" s="89">
        <f t="shared" si="0"/>
        <v>3013</v>
      </c>
      <c r="H22" s="90">
        <v>0</v>
      </c>
      <c r="I22" s="90">
        <v>3013</v>
      </c>
      <c r="J22" s="91">
        <v>10935.3</v>
      </c>
      <c r="K22" s="92">
        <f t="shared" si="1"/>
        <v>14125.837549999998</v>
      </c>
      <c r="L22" s="97">
        <f t="shared" si="13"/>
        <v>1777.9537949999992</v>
      </c>
      <c r="M22" s="94">
        <f t="shared" si="14"/>
        <v>1412.5837549999999</v>
      </c>
      <c r="N22" s="94">
        <f t="shared" si="11"/>
        <v>1412.5837549999999</v>
      </c>
      <c r="O22" s="94">
        <f t="shared" si="4"/>
        <v>0</v>
      </c>
      <c r="P22" s="95">
        <f t="shared" si="5"/>
        <v>0.59009419017590414</v>
      </c>
      <c r="Q22" s="21">
        <f t="shared" si="6"/>
        <v>12713.253794999999</v>
      </c>
      <c r="R22" s="7">
        <f t="shared" si="7"/>
        <v>12713.253794999999</v>
      </c>
      <c r="S22" s="21">
        <f>('Faturamento Laura Jardim'!P26-P22)*G22</f>
        <v>860.83704260269451</v>
      </c>
    </row>
    <row r="23" spans="1:19" ht="15.75" customHeight="1" x14ac:dyDescent="0.35">
      <c r="A23" s="62">
        <v>46082</v>
      </c>
      <c r="B23" s="86">
        <v>11185</v>
      </c>
      <c r="C23" s="87">
        <v>0.41741</v>
      </c>
      <c r="D23" s="87">
        <v>0.91113999999999995</v>
      </c>
      <c r="E23" s="87">
        <v>0</v>
      </c>
      <c r="F23" s="98">
        <f t="shared" si="8"/>
        <v>1.3285499999999999</v>
      </c>
      <c r="G23" s="89">
        <f t="shared" si="0"/>
        <v>3176</v>
      </c>
      <c r="H23" s="90">
        <v>0</v>
      </c>
      <c r="I23" s="90">
        <v>3176</v>
      </c>
      <c r="J23" s="91">
        <v>11413.96</v>
      </c>
      <c r="K23" s="92">
        <f t="shared" si="1"/>
        <v>14859.831749999999</v>
      </c>
      <c r="L23" s="97">
        <f t="shared" si="13"/>
        <v>1959.8885750000002</v>
      </c>
      <c r="M23" s="94">
        <f t="shared" si="14"/>
        <v>1485.9831750000001</v>
      </c>
      <c r="N23" s="94">
        <f t="shared" si="11"/>
        <v>1485.9831750000001</v>
      </c>
      <c r="O23" s="94">
        <f t="shared" si="4"/>
        <v>0</v>
      </c>
      <c r="P23" s="95">
        <f t="shared" si="5"/>
        <v>0.61709338003778347</v>
      </c>
      <c r="Q23" s="21">
        <f t="shared" si="6"/>
        <v>13373.848575</v>
      </c>
      <c r="R23" s="7">
        <f t="shared" si="7"/>
        <v>13373.848575</v>
      </c>
      <c r="S23" s="21">
        <f>('Faturamento Laura Jardim'!P27-P23)*G23</f>
        <v>888.74420185906035</v>
      </c>
    </row>
    <row r="24" spans="1:19" ht="15.75" customHeight="1" x14ac:dyDescent="0.35">
      <c r="A24" s="62">
        <v>46113</v>
      </c>
      <c r="B24" s="86">
        <v>11369</v>
      </c>
      <c r="C24" s="87">
        <v>0.46565000000000001</v>
      </c>
      <c r="D24" s="87">
        <v>1.0344599999999999</v>
      </c>
      <c r="E24" s="87">
        <v>0</v>
      </c>
      <c r="F24" s="98">
        <f t="shared" si="8"/>
        <v>1.5001099999999998</v>
      </c>
      <c r="G24" s="89">
        <f t="shared" si="0"/>
        <v>2218</v>
      </c>
      <c r="H24" s="90">
        <v>0</v>
      </c>
      <c r="I24" s="90">
        <v>2218</v>
      </c>
      <c r="J24" s="91">
        <v>14357.05</v>
      </c>
      <c r="K24" s="92">
        <f t="shared" si="1"/>
        <v>17054.75059</v>
      </c>
      <c r="L24" s="97">
        <f t="shared" si="13"/>
        <v>992.22553100000027</v>
      </c>
      <c r="M24" s="94">
        <f t="shared" si="14"/>
        <v>1705.4750590000001</v>
      </c>
      <c r="N24" s="94">
        <f t="shared" si="11"/>
        <v>1705.4750590000001</v>
      </c>
      <c r="O24" s="94">
        <f t="shared" si="4"/>
        <v>0</v>
      </c>
      <c r="P24" s="95">
        <f t="shared" si="5"/>
        <v>0.44735145671776388</v>
      </c>
      <c r="Q24" s="21">
        <f t="shared" si="6"/>
        <v>15349.275530999999</v>
      </c>
      <c r="R24" s="7">
        <f t="shared" si="7"/>
        <v>15349.275530999999</v>
      </c>
      <c r="S24" s="21">
        <f>('Faturamento Laura Jardim'!P28-P24)*G24</f>
        <v>1276.2609531627331</v>
      </c>
    </row>
    <row r="25" spans="1:19" ht="15.75" customHeight="1" x14ac:dyDescent="0.35">
      <c r="A25" s="62">
        <v>46143</v>
      </c>
      <c r="B25" s="86">
        <v>10523</v>
      </c>
      <c r="C25" s="87">
        <v>0.460704</v>
      </c>
      <c r="D25" s="87">
        <v>1.03755</v>
      </c>
      <c r="E25" s="87">
        <v>2.2409999999999999E-2</v>
      </c>
      <c r="F25" s="98">
        <f t="shared" si="8"/>
        <v>1.520664</v>
      </c>
      <c r="G25" s="89">
        <f t="shared" si="0"/>
        <v>1969</v>
      </c>
      <c r="H25" s="90">
        <v>0</v>
      </c>
      <c r="I25" s="90">
        <v>1969</v>
      </c>
      <c r="J25" s="91">
        <v>13634.16</v>
      </c>
      <c r="K25" s="92">
        <f t="shared" si="1"/>
        <v>16001.947271999999</v>
      </c>
      <c r="L25" s="97">
        <f t="shared" si="13"/>
        <v>723.46725479999964</v>
      </c>
      <c r="M25" s="94">
        <f t="shared" si="14"/>
        <v>1644.3200171999999</v>
      </c>
      <c r="N25" s="94">
        <f t="shared" si="11"/>
        <v>1600.1947272</v>
      </c>
      <c r="O25" s="94">
        <f t="shared" si="4"/>
        <v>44.12529</v>
      </c>
      <c r="P25" s="95">
        <f t="shared" si="5"/>
        <v>0.36742877338750618</v>
      </c>
      <c r="Q25" s="21">
        <f t="shared" si="6"/>
        <v>14357.6272548</v>
      </c>
      <c r="R25" s="7">
        <f t="shared" si="7"/>
        <v>14401.7525448</v>
      </c>
      <c r="S25" s="21">
        <f>('Faturamento Laura Jardim'!P29-P25)*G25</f>
        <v>1298.7089643007087</v>
      </c>
    </row>
    <row r="26" spans="1:19" ht="15.75" customHeight="1" x14ac:dyDescent="0.35">
      <c r="A26" s="62">
        <v>46174</v>
      </c>
      <c r="B26" s="86">
        <v>10563</v>
      </c>
      <c r="C26" s="87">
        <v>0.46345999999999998</v>
      </c>
      <c r="D26" s="87">
        <v>1.02948</v>
      </c>
      <c r="E26" s="87">
        <v>2.6519999999999998E-2</v>
      </c>
      <c r="F26" s="98">
        <f t="shared" si="8"/>
        <v>1.51946</v>
      </c>
      <c r="G26" s="89">
        <f t="shared" si="0"/>
        <v>1369.28</v>
      </c>
      <c r="H26" s="90">
        <v>0</v>
      </c>
      <c r="I26" s="90">
        <v>1369.28</v>
      </c>
      <c r="J26" s="91">
        <v>14388.07</v>
      </c>
      <c r="K26" s="92">
        <f t="shared" si="1"/>
        <v>16050.055980000001</v>
      </c>
      <c r="L26" s="97">
        <f t="shared" si="13"/>
        <v>20.667076400001179</v>
      </c>
      <c r="M26" s="94">
        <f t="shared" si="14"/>
        <v>1641.3189036000001</v>
      </c>
      <c r="N26" s="94">
        <f t="shared" si="11"/>
        <v>1605.0055980000002</v>
      </c>
      <c r="O26" s="94">
        <f t="shared" si="4"/>
        <v>36.3133056</v>
      </c>
      <c r="P26" s="95">
        <f t="shared" si="5"/>
        <v>1.5093389518579968E-2</v>
      </c>
      <c r="Q26" s="21">
        <f t="shared" si="6"/>
        <v>14408.737076400001</v>
      </c>
      <c r="R26" s="7">
        <f t="shared" si="7"/>
        <v>14445.050382000001</v>
      </c>
      <c r="S26" s="21">
        <f>('Faturamento Laura Jardim'!P30-P26)*G26</f>
        <v>1357.2683398536929</v>
      </c>
    </row>
    <row r="27" spans="1:19" ht="15.75" customHeight="1" x14ac:dyDescent="0.35">
      <c r="A27" s="62">
        <v>46204</v>
      </c>
      <c r="B27" s="86">
        <v>10775</v>
      </c>
      <c r="C27" s="87">
        <v>0.47258</v>
      </c>
      <c r="D27" s="87">
        <v>1.0498400000000001</v>
      </c>
      <c r="E27" s="87">
        <v>2.7040000000000002E-2</v>
      </c>
      <c r="F27" s="98">
        <f t="shared" si="8"/>
        <v>1.5494600000000001</v>
      </c>
      <c r="G27" s="89">
        <f t="shared" si="0"/>
        <v>1388</v>
      </c>
      <c r="H27" s="90">
        <v>0</v>
      </c>
      <c r="I27" s="90">
        <v>1388</v>
      </c>
      <c r="J27" s="91">
        <v>14976.44</v>
      </c>
      <c r="K27" s="92">
        <f t="shared" si="1"/>
        <v>16695.431500000002</v>
      </c>
      <c r="L27" s="97">
        <f t="shared" ref="L27" si="15">MAX(K27-J27-M27,0)</f>
        <v>11.916830000001482</v>
      </c>
      <c r="M27" s="94">
        <f t="shared" ref="M27" si="16">MIN(SUM(N27:O27),K27-J27)</f>
        <v>1707.0746700000004</v>
      </c>
      <c r="N27" s="94">
        <f t="shared" ref="N27" si="17">K27*0.1</f>
        <v>1669.5431500000004</v>
      </c>
      <c r="O27" s="94">
        <f t="shared" ref="O27" si="18">G27*E27</f>
        <v>37.53152</v>
      </c>
      <c r="P27" s="95">
        <f t="shared" ref="P27" si="19">L27/G27</f>
        <v>8.585612391931903E-3</v>
      </c>
      <c r="Q27" s="21"/>
      <c r="R27" s="7">
        <f t="shared" si="7"/>
        <v>15025.888350000003</v>
      </c>
      <c r="S27" s="21"/>
    </row>
    <row r="28" spans="1:19" ht="15.75" customHeight="1" x14ac:dyDescent="0.35"/>
    <row r="29" spans="1:19" ht="15.75" customHeight="1" x14ac:dyDescent="0.35"/>
    <row r="30" spans="1:19" ht="15.75" customHeight="1" x14ac:dyDescent="0.35"/>
    <row r="31" spans="1:19" ht="15.75" customHeight="1" x14ac:dyDescent="0.35"/>
    <row r="32" spans="1:1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pageMargins left="0.511811024" right="0.511811024" top="0.78740157499999996" bottom="0.78740157499999996" header="0" footer="0"/>
  <pageSetup orientation="landscape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ilha15">
    <outlinePr summaryBelow="0" summaryRight="0"/>
  </sheetPr>
  <dimension ref="A1:X1000"/>
  <sheetViews>
    <sheetView topLeftCell="J1" workbookViewId="0">
      <selection activeCell="V13" sqref="V13"/>
    </sheetView>
  </sheetViews>
  <sheetFormatPr defaultColWidth="14.453125" defaultRowHeight="15" customHeight="1" x14ac:dyDescent="0.35"/>
  <sheetData>
    <row r="1" spans="1:24" ht="14.5" x14ac:dyDescent="0.35">
      <c r="A1" s="50" t="s">
        <v>75</v>
      </c>
      <c r="B1" s="50" t="s">
        <v>179</v>
      </c>
      <c r="C1" s="100" t="s">
        <v>173</v>
      </c>
      <c r="D1" s="100" t="s">
        <v>208</v>
      </c>
      <c r="E1" s="100" t="s">
        <v>209</v>
      </c>
      <c r="F1" s="100" t="s">
        <v>210</v>
      </c>
      <c r="G1" s="100" t="s">
        <v>175</v>
      </c>
      <c r="H1" s="100" t="s">
        <v>211</v>
      </c>
      <c r="I1" s="100" t="s">
        <v>212</v>
      </c>
      <c r="J1" s="100" t="s">
        <v>213</v>
      </c>
      <c r="K1" s="50" t="s">
        <v>201</v>
      </c>
      <c r="L1" s="100" t="s">
        <v>214</v>
      </c>
      <c r="M1" s="100" t="s">
        <v>215</v>
      </c>
      <c r="N1" s="50" t="s">
        <v>183</v>
      </c>
      <c r="O1" s="50" t="s">
        <v>216</v>
      </c>
      <c r="P1" s="100" t="s">
        <v>217</v>
      </c>
      <c r="Q1" s="100" t="s">
        <v>218</v>
      </c>
      <c r="R1" s="50" t="s">
        <v>185</v>
      </c>
      <c r="S1" s="50" t="s">
        <v>206</v>
      </c>
      <c r="T1" s="50" t="s">
        <v>219</v>
      </c>
      <c r="U1" s="50" t="s">
        <v>220</v>
      </c>
      <c r="V1" s="50" t="s">
        <v>204</v>
      </c>
      <c r="W1" s="100" t="s">
        <v>221</v>
      </c>
      <c r="X1" s="50" t="s">
        <v>196</v>
      </c>
    </row>
    <row r="2" spans="1:24" ht="14.5" x14ac:dyDescent="0.35">
      <c r="A2" s="101">
        <v>45839</v>
      </c>
      <c r="B2" s="102">
        <v>1696</v>
      </c>
      <c r="C2" s="103">
        <v>0.40598000000000001</v>
      </c>
      <c r="D2" s="103">
        <v>0.87446999999999997</v>
      </c>
      <c r="E2" s="103">
        <v>0.66469</v>
      </c>
      <c r="F2" s="103">
        <v>0.49785000000000001</v>
      </c>
      <c r="G2" s="103">
        <v>6.1749999999999999E-2</v>
      </c>
      <c r="H2" s="104">
        <f t="shared" ref="H2:H14" si="0">C2+D2+G2</f>
        <v>1.3422000000000001</v>
      </c>
      <c r="I2" s="104">
        <f t="shared" ref="I2:I3" si="1">C2+E2</f>
        <v>1.07067</v>
      </c>
      <c r="J2" s="104">
        <f t="shared" ref="J2:J14" si="2">C2+F2</f>
        <v>0.90383000000000002</v>
      </c>
      <c r="K2" s="105">
        <f t="shared" ref="K2:K14" si="3">L2+M2</f>
        <v>1695.8899999999999</v>
      </c>
      <c r="L2" s="106">
        <v>729.38</v>
      </c>
      <c r="M2" s="106">
        <v>966.51</v>
      </c>
      <c r="N2" s="106">
        <v>595.87</v>
      </c>
      <c r="O2" s="106">
        <f>59.1+9.57+10.03</f>
        <v>78.7</v>
      </c>
      <c r="P2" s="105">
        <f t="shared" ref="P2:P14" si="4">H2*B2</f>
        <v>2276.3712</v>
      </c>
      <c r="Q2" s="105">
        <f t="shared" ref="Q2:Q14" si="5">L2*I2+M2*J2</f>
        <v>1654.4860179000002</v>
      </c>
      <c r="R2" s="105">
        <f t="shared" ref="R2:R14" si="6">80%*(I2*L2+J2*M2)</f>
        <v>1323.5888143200002</v>
      </c>
      <c r="S2" s="105">
        <f t="shared" ref="S2:S14" si="7">G2*K2</f>
        <v>104.72120749999999</v>
      </c>
      <c r="T2" s="105">
        <f t="shared" ref="T2:U2" si="8">20%*I2*L2</f>
        <v>156.18505692000002</v>
      </c>
      <c r="U2" s="105">
        <f t="shared" si="8"/>
        <v>174.71214666</v>
      </c>
      <c r="V2" s="105">
        <f t="shared" ref="V2:V14" si="9">P2+O2-R2-N2</f>
        <v>435.61238567999965</v>
      </c>
      <c r="W2" s="107">
        <f t="shared" ref="W2:W14" si="10">V2/P2</f>
        <v>0.19136263263214701</v>
      </c>
      <c r="X2" s="108">
        <f t="shared" ref="X2:X14" si="11">R2/K2</f>
        <v>0.7804685529839791</v>
      </c>
    </row>
    <row r="3" spans="1:24" ht="15" customHeight="1" x14ac:dyDescent="0.35">
      <c r="A3" s="101">
        <v>45870</v>
      </c>
      <c r="B3" s="102">
        <v>1574</v>
      </c>
      <c r="C3" s="103">
        <v>0.39745999999999998</v>
      </c>
      <c r="D3" s="103">
        <v>0.85611000000000004</v>
      </c>
      <c r="E3" s="103">
        <v>0.39745999999999998</v>
      </c>
      <c r="F3" s="103">
        <v>0.48738999999999999</v>
      </c>
      <c r="G3" s="103">
        <v>9.2799999999999994E-2</v>
      </c>
      <c r="H3" s="104">
        <f t="shared" si="0"/>
        <v>1.3463700000000001</v>
      </c>
      <c r="I3" s="104">
        <f t="shared" si="1"/>
        <v>0.79491999999999996</v>
      </c>
      <c r="J3" s="104">
        <f t="shared" si="2"/>
        <v>0.88484999999999991</v>
      </c>
      <c r="K3" s="105">
        <f t="shared" si="3"/>
        <v>1573</v>
      </c>
      <c r="L3" s="106">
        <v>0</v>
      </c>
      <c r="M3" s="106">
        <f>1067+506</f>
        <v>1573</v>
      </c>
      <c r="N3" s="106">
        <v>646.29999999999995</v>
      </c>
      <c r="O3" s="106">
        <f>59.1+1.24+5.58</f>
        <v>65.92</v>
      </c>
      <c r="P3" s="105">
        <f t="shared" si="4"/>
        <v>2119.1863800000001</v>
      </c>
      <c r="Q3" s="105">
        <f t="shared" si="5"/>
        <v>1391.8690499999998</v>
      </c>
      <c r="R3" s="105">
        <f t="shared" si="6"/>
        <v>1113.49524</v>
      </c>
      <c r="S3" s="105">
        <f t="shared" si="7"/>
        <v>145.9744</v>
      </c>
      <c r="T3" s="105">
        <f t="shared" ref="T3:U3" si="12">20%*I3*L3</f>
        <v>0</v>
      </c>
      <c r="U3" s="105">
        <f t="shared" si="12"/>
        <v>278.37380999999999</v>
      </c>
      <c r="V3" s="105">
        <f t="shared" si="9"/>
        <v>425.31114000000025</v>
      </c>
      <c r="W3" s="107">
        <f t="shared" si="10"/>
        <v>0.20069548578355823</v>
      </c>
      <c r="X3" s="108">
        <f t="shared" si="11"/>
        <v>0.70787999999999995</v>
      </c>
    </row>
    <row r="4" spans="1:24" ht="15" customHeight="1" x14ac:dyDescent="0.35">
      <c r="A4" s="101">
        <v>45901</v>
      </c>
      <c r="B4" s="102">
        <v>1472</v>
      </c>
      <c r="C4" s="103">
        <v>0.41143000000000002</v>
      </c>
      <c r="D4" s="103">
        <v>0.88622000000000001</v>
      </c>
      <c r="E4" s="103"/>
      <c r="F4" s="103">
        <v>0.50453000000000003</v>
      </c>
      <c r="G4" s="103">
        <v>0.11043</v>
      </c>
      <c r="H4" s="104">
        <f t="shared" si="0"/>
        <v>1.40808</v>
      </c>
      <c r="I4" s="104"/>
      <c r="J4" s="104">
        <f t="shared" si="2"/>
        <v>0.91596000000000011</v>
      </c>
      <c r="K4" s="105">
        <f t="shared" si="3"/>
        <v>1472</v>
      </c>
      <c r="L4" s="106">
        <v>0</v>
      </c>
      <c r="M4" s="106">
        <v>1472</v>
      </c>
      <c r="N4" s="106">
        <v>632.64</v>
      </c>
      <c r="O4" s="106">
        <f>59.1+11.7</f>
        <v>70.8</v>
      </c>
      <c r="P4" s="105">
        <f t="shared" si="4"/>
        <v>2072.6937600000001</v>
      </c>
      <c r="Q4" s="105">
        <f t="shared" si="5"/>
        <v>1348.2931200000003</v>
      </c>
      <c r="R4" s="105">
        <f t="shared" si="6"/>
        <v>1078.6344960000004</v>
      </c>
      <c r="S4" s="105">
        <f t="shared" si="7"/>
        <v>162.55296000000001</v>
      </c>
      <c r="T4" s="105">
        <f t="shared" ref="T4:U4" si="13">20%*I4*L4</f>
        <v>0</v>
      </c>
      <c r="U4" s="105">
        <f t="shared" si="13"/>
        <v>269.65862400000003</v>
      </c>
      <c r="V4" s="105">
        <f t="shared" si="9"/>
        <v>432.21926399999995</v>
      </c>
      <c r="W4" s="107">
        <f t="shared" si="10"/>
        <v>0.20853020949896617</v>
      </c>
      <c r="X4" s="108">
        <f t="shared" si="11"/>
        <v>0.7327680000000002</v>
      </c>
    </row>
    <row r="5" spans="1:24" ht="15" customHeight="1" x14ac:dyDescent="0.35">
      <c r="A5" s="101">
        <v>45931</v>
      </c>
      <c r="B5" s="102">
        <v>1417</v>
      </c>
      <c r="C5" s="103">
        <v>0.41094000000000003</v>
      </c>
      <c r="D5" s="103">
        <v>0.88517999999999997</v>
      </c>
      <c r="E5" s="103"/>
      <c r="F5" s="103">
        <v>0.50394000000000005</v>
      </c>
      <c r="G5" s="103">
        <v>7.5249999999999997E-2</v>
      </c>
      <c r="H5" s="104">
        <f t="shared" si="0"/>
        <v>1.37137</v>
      </c>
      <c r="I5" s="104"/>
      <c r="J5" s="104">
        <f t="shared" si="2"/>
        <v>0.91488000000000014</v>
      </c>
      <c r="K5" s="105">
        <f t="shared" si="3"/>
        <v>1417</v>
      </c>
      <c r="L5" s="106">
        <v>0</v>
      </c>
      <c r="M5" s="106">
        <v>1417</v>
      </c>
      <c r="N5" s="106">
        <v>616.41999999999996</v>
      </c>
      <c r="O5" s="106">
        <f>59.1+5.66+11.41</f>
        <v>76.17</v>
      </c>
      <c r="P5" s="105">
        <f t="shared" si="4"/>
        <v>1943.2312899999999</v>
      </c>
      <c r="Q5" s="105">
        <f t="shared" si="5"/>
        <v>1296.3849600000001</v>
      </c>
      <c r="R5" s="105">
        <f t="shared" si="6"/>
        <v>1037.107968</v>
      </c>
      <c r="S5" s="105">
        <f t="shared" si="7"/>
        <v>106.62925</v>
      </c>
      <c r="T5" s="105">
        <f t="shared" ref="T5:U5" si="14">20%*I5*L5</f>
        <v>0</v>
      </c>
      <c r="U5" s="105">
        <f t="shared" si="14"/>
        <v>259.27699200000006</v>
      </c>
      <c r="V5" s="105">
        <f t="shared" si="9"/>
        <v>365.87332200000003</v>
      </c>
      <c r="W5" s="107">
        <f t="shared" si="10"/>
        <v>0.18828089269805862</v>
      </c>
      <c r="X5" s="108">
        <f t="shared" si="11"/>
        <v>0.731904</v>
      </c>
    </row>
    <row r="6" spans="1:24" ht="15" customHeight="1" x14ac:dyDescent="0.35">
      <c r="A6" s="101">
        <v>45962</v>
      </c>
      <c r="B6" s="102">
        <v>1681</v>
      </c>
      <c r="C6" s="103">
        <v>0.40676000000000001</v>
      </c>
      <c r="D6" s="103">
        <v>0.87612999999999996</v>
      </c>
      <c r="E6" s="103"/>
      <c r="F6" s="103">
        <v>0.49880000000000002</v>
      </c>
      <c r="G6" s="103">
        <v>6.1859999999999998E-2</v>
      </c>
      <c r="H6" s="104">
        <f t="shared" si="0"/>
        <v>1.3447500000000001</v>
      </c>
      <c r="I6" s="104"/>
      <c r="J6" s="104">
        <f t="shared" si="2"/>
        <v>0.90556000000000003</v>
      </c>
      <c r="K6" s="105">
        <f t="shared" si="3"/>
        <v>1681</v>
      </c>
      <c r="L6" s="106">
        <v>0</v>
      </c>
      <c r="M6" s="106">
        <v>1681</v>
      </c>
      <c r="N6" s="106">
        <v>710.14</v>
      </c>
      <c r="O6" s="106">
        <f>59.1+11.05+5.7</f>
        <v>75.850000000000009</v>
      </c>
      <c r="P6" s="105">
        <f t="shared" si="4"/>
        <v>2260.52475</v>
      </c>
      <c r="Q6" s="105">
        <f t="shared" si="5"/>
        <v>1522.2463600000001</v>
      </c>
      <c r="R6" s="105">
        <f t="shared" si="6"/>
        <v>1217.797088</v>
      </c>
      <c r="S6" s="105">
        <f t="shared" si="7"/>
        <v>103.98666</v>
      </c>
      <c r="T6" s="105">
        <f t="shared" ref="T6:U6" si="15">20%*I6*L6</f>
        <v>0</v>
      </c>
      <c r="U6" s="105">
        <f t="shared" si="15"/>
        <v>304.44927200000006</v>
      </c>
      <c r="V6" s="105">
        <f t="shared" si="9"/>
        <v>408.43766199999993</v>
      </c>
      <c r="W6" s="107">
        <f t="shared" si="10"/>
        <v>0.18068267644492719</v>
      </c>
      <c r="X6" s="108">
        <f t="shared" si="11"/>
        <v>0.72444799999999998</v>
      </c>
    </row>
    <row r="7" spans="1:24" ht="15" customHeight="1" x14ac:dyDescent="0.35">
      <c r="A7" s="101">
        <v>45992</v>
      </c>
      <c r="B7" s="102">
        <v>1710</v>
      </c>
      <c r="C7" s="103">
        <v>0.41667999999999999</v>
      </c>
      <c r="D7" s="103">
        <v>0.89749999999999996</v>
      </c>
      <c r="E7" s="103"/>
      <c r="F7" s="103">
        <v>0.51095000000000002</v>
      </c>
      <c r="G7" s="103">
        <f>0.01815+0.02035</f>
        <v>3.85E-2</v>
      </c>
      <c r="H7" s="104">
        <f t="shared" si="0"/>
        <v>1.3526799999999999</v>
      </c>
      <c r="I7" s="104"/>
      <c r="J7" s="104">
        <f t="shared" si="2"/>
        <v>0.92762999999999995</v>
      </c>
      <c r="K7" s="105">
        <f t="shared" si="3"/>
        <v>1710</v>
      </c>
      <c r="L7" s="106">
        <v>0</v>
      </c>
      <c r="M7" s="106">
        <v>1710</v>
      </c>
      <c r="N7" s="106">
        <v>740.81</v>
      </c>
      <c r="O7" s="106">
        <f>12.92+59.1+0.99+6.78</f>
        <v>79.789999999999992</v>
      </c>
      <c r="P7" s="105">
        <f t="shared" si="4"/>
        <v>2313.0827999999997</v>
      </c>
      <c r="Q7" s="105">
        <f t="shared" si="5"/>
        <v>1586.2473</v>
      </c>
      <c r="R7" s="105">
        <f t="shared" si="6"/>
        <v>1268.99784</v>
      </c>
      <c r="S7" s="105">
        <f t="shared" si="7"/>
        <v>65.834999999999994</v>
      </c>
      <c r="T7" s="105">
        <f t="shared" ref="T7:U7" si="16">20%*I7*L7</f>
        <v>0</v>
      </c>
      <c r="U7" s="105">
        <f t="shared" si="16"/>
        <v>317.24946</v>
      </c>
      <c r="V7" s="105">
        <f t="shared" si="9"/>
        <v>383.0649599999997</v>
      </c>
      <c r="W7" s="107">
        <f t="shared" si="10"/>
        <v>0.16560797564185759</v>
      </c>
      <c r="X7" s="108">
        <f t="shared" si="11"/>
        <v>0.74210399999999999</v>
      </c>
    </row>
    <row r="8" spans="1:24" ht="15" customHeight="1" x14ac:dyDescent="0.35">
      <c r="A8" s="101">
        <v>46023</v>
      </c>
      <c r="B8" s="102">
        <v>1887</v>
      </c>
      <c r="C8" s="103">
        <v>0.41592000000000001</v>
      </c>
      <c r="D8" s="103">
        <v>0.89587000000000006</v>
      </c>
      <c r="E8" s="103"/>
      <c r="F8" s="103">
        <v>0.45311000000000001</v>
      </c>
      <c r="G8" s="103">
        <v>9.7000000000000003E-3</v>
      </c>
      <c r="H8" s="104">
        <f t="shared" si="0"/>
        <v>1.3214900000000001</v>
      </c>
      <c r="I8" s="104"/>
      <c r="J8" s="104">
        <f t="shared" si="2"/>
        <v>0.86902999999999997</v>
      </c>
      <c r="K8" s="105">
        <f t="shared" si="3"/>
        <v>1887</v>
      </c>
      <c r="L8" s="106">
        <v>0</v>
      </c>
      <c r="M8" s="106">
        <v>1887</v>
      </c>
      <c r="N8" s="106">
        <v>908.16</v>
      </c>
      <c r="O8" s="106">
        <f>13.52+59.1</f>
        <v>72.62</v>
      </c>
      <c r="P8" s="105">
        <f t="shared" si="4"/>
        <v>2493.6516300000003</v>
      </c>
      <c r="Q8" s="105">
        <f t="shared" si="5"/>
        <v>1639.85961</v>
      </c>
      <c r="R8" s="105">
        <f t="shared" si="6"/>
        <v>1311.887688</v>
      </c>
      <c r="S8" s="105">
        <f t="shared" si="7"/>
        <v>18.303900000000002</v>
      </c>
      <c r="T8" s="105">
        <f t="shared" ref="T8:U8" si="17">20%*I8*L8</f>
        <v>0</v>
      </c>
      <c r="U8" s="105">
        <f t="shared" si="17"/>
        <v>327.97192200000001</v>
      </c>
      <c r="V8" s="105">
        <f t="shared" si="9"/>
        <v>346.22394200000019</v>
      </c>
      <c r="W8" s="107">
        <f t="shared" si="10"/>
        <v>0.13884214532404437</v>
      </c>
      <c r="X8" s="108">
        <f t="shared" si="11"/>
        <v>0.69522400000000006</v>
      </c>
    </row>
    <row r="9" spans="1:24" ht="15" customHeight="1" x14ac:dyDescent="0.35">
      <c r="A9" s="101">
        <v>46054</v>
      </c>
      <c r="B9" s="102">
        <v>1462</v>
      </c>
      <c r="C9" s="103">
        <v>0.41160999999999998</v>
      </c>
      <c r="D9" s="103">
        <v>0.88660000000000005</v>
      </c>
      <c r="E9" s="103"/>
      <c r="F9" s="103">
        <v>0.44841999999999999</v>
      </c>
      <c r="G9" s="103"/>
      <c r="H9" s="104">
        <f t="shared" si="0"/>
        <v>1.2982100000000001</v>
      </c>
      <c r="I9" s="104"/>
      <c r="J9" s="104">
        <f t="shared" si="2"/>
        <v>0.86002999999999996</v>
      </c>
      <c r="K9" s="105">
        <f t="shared" si="3"/>
        <v>1462</v>
      </c>
      <c r="L9" s="106">
        <v>0</v>
      </c>
      <c r="M9" s="106">
        <v>1462</v>
      </c>
      <c r="N9" s="106">
        <v>723.14</v>
      </c>
      <c r="O9" s="106">
        <f>16.89+59.1+6.53</f>
        <v>82.52000000000001</v>
      </c>
      <c r="P9" s="105">
        <f t="shared" si="4"/>
        <v>1897.9830200000001</v>
      </c>
      <c r="Q9" s="105">
        <f t="shared" si="5"/>
        <v>1257.3638599999999</v>
      </c>
      <c r="R9" s="105">
        <f t="shared" si="6"/>
        <v>1005.891088</v>
      </c>
      <c r="S9" s="105">
        <f t="shared" si="7"/>
        <v>0</v>
      </c>
      <c r="T9" s="105">
        <f t="shared" ref="T9:U9" si="18">20%*I9*L9</f>
        <v>0</v>
      </c>
      <c r="U9" s="105">
        <f t="shared" si="18"/>
        <v>251.47277199999999</v>
      </c>
      <c r="V9" s="105">
        <f t="shared" si="9"/>
        <v>251.47193200000015</v>
      </c>
      <c r="W9" s="107">
        <f t="shared" si="10"/>
        <v>0.13249430018609973</v>
      </c>
      <c r="X9" s="108">
        <f t="shared" si="11"/>
        <v>0.68802399999999997</v>
      </c>
    </row>
    <row r="10" spans="1:24" ht="15" customHeight="1" x14ac:dyDescent="0.35">
      <c r="A10" s="101">
        <v>46082</v>
      </c>
      <c r="B10" s="102">
        <v>1464</v>
      </c>
      <c r="C10" s="103">
        <v>0.41194999999999998</v>
      </c>
      <c r="D10" s="103">
        <v>0.89607000000000003</v>
      </c>
      <c r="E10" s="103"/>
      <c r="F10" s="103">
        <v>0.47943000000000002</v>
      </c>
      <c r="G10" s="103"/>
      <c r="H10" s="104">
        <f t="shared" si="0"/>
        <v>1.30802</v>
      </c>
      <c r="I10" s="104"/>
      <c r="J10" s="104">
        <f t="shared" si="2"/>
        <v>0.89138000000000006</v>
      </c>
      <c r="K10" s="105">
        <f t="shared" si="3"/>
        <v>1464</v>
      </c>
      <c r="L10" s="106">
        <v>0</v>
      </c>
      <c r="M10" s="106">
        <v>1464</v>
      </c>
      <c r="N10" s="106">
        <v>689.82</v>
      </c>
      <c r="O10" s="106">
        <f>13.12+59.1+7.6</f>
        <v>79.819999999999993</v>
      </c>
      <c r="P10" s="105">
        <f t="shared" si="4"/>
        <v>1914.94128</v>
      </c>
      <c r="Q10" s="105">
        <f t="shared" si="5"/>
        <v>1304.9803200000001</v>
      </c>
      <c r="R10" s="105">
        <f t="shared" si="6"/>
        <v>1043.9842560000002</v>
      </c>
      <c r="S10" s="105">
        <f t="shared" si="7"/>
        <v>0</v>
      </c>
      <c r="T10" s="105">
        <f t="shared" ref="T10:U10" si="19">20%*I10*L10</f>
        <v>0</v>
      </c>
      <c r="U10" s="105">
        <f t="shared" si="19"/>
        <v>260.99606400000005</v>
      </c>
      <c r="V10" s="105">
        <f t="shared" si="9"/>
        <v>260.95702399999971</v>
      </c>
      <c r="W10" s="107">
        <f t="shared" si="10"/>
        <v>0.13627416502296075</v>
      </c>
      <c r="X10" s="108">
        <f t="shared" si="11"/>
        <v>0.71310400000000018</v>
      </c>
    </row>
    <row r="11" spans="1:24" ht="15" customHeight="1" x14ac:dyDescent="0.35">
      <c r="A11" s="101">
        <v>46113</v>
      </c>
      <c r="B11" s="102">
        <v>1252</v>
      </c>
      <c r="C11" s="103">
        <v>0.46554000000000001</v>
      </c>
      <c r="D11" s="103">
        <v>1.03423</v>
      </c>
      <c r="E11" s="103"/>
      <c r="F11" s="103">
        <v>0.55335999999999996</v>
      </c>
      <c r="G11" s="103">
        <v>0</v>
      </c>
      <c r="H11" s="104">
        <f t="shared" si="0"/>
        <v>1.49977</v>
      </c>
      <c r="I11" s="104"/>
      <c r="J11" s="104">
        <f t="shared" si="2"/>
        <v>1.0188999999999999</v>
      </c>
      <c r="K11" s="105">
        <f t="shared" si="3"/>
        <v>1251</v>
      </c>
      <c r="L11" s="106">
        <v>0</v>
      </c>
      <c r="M11" s="106">
        <f>417+834</f>
        <v>1251</v>
      </c>
      <c r="N11" s="106">
        <v>686.21</v>
      </c>
      <c r="O11" s="106">
        <v>84.13</v>
      </c>
      <c r="P11" s="105">
        <f t="shared" si="4"/>
        <v>1877.7120400000001</v>
      </c>
      <c r="Q11" s="105">
        <f t="shared" si="5"/>
        <v>1274.6438999999998</v>
      </c>
      <c r="R11" s="105">
        <f t="shared" si="6"/>
        <v>1019.7151199999998</v>
      </c>
      <c r="S11" s="105">
        <f t="shared" si="7"/>
        <v>0</v>
      </c>
      <c r="T11" s="105">
        <f t="shared" ref="T11:U11" si="20">20%*I11*L11</f>
        <v>0</v>
      </c>
      <c r="U11" s="105">
        <f t="shared" si="20"/>
        <v>254.92877999999999</v>
      </c>
      <c r="V11" s="105">
        <f t="shared" si="9"/>
        <v>255.91692000000012</v>
      </c>
      <c r="W11" s="107">
        <f t="shared" si="10"/>
        <v>0.13629188850490628</v>
      </c>
      <c r="X11" s="108">
        <f t="shared" si="11"/>
        <v>0.81511999999999984</v>
      </c>
    </row>
    <row r="12" spans="1:24" ht="14.5" x14ac:dyDescent="0.35">
      <c r="A12" s="101">
        <v>46143</v>
      </c>
      <c r="B12" s="102">
        <v>1224</v>
      </c>
      <c r="C12" s="103">
        <v>0.46700000000000003</v>
      </c>
      <c r="D12" s="103">
        <v>1.0374699999999999</v>
      </c>
      <c r="E12" s="103"/>
      <c r="F12" s="103">
        <v>0.55508999999999997</v>
      </c>
      <c r="G12" s="103">
        <v>0</v>
      </c>
      <c r="H12" s="104">
        <f t="shared" si="0"/>
        <v>1.50447</v>
      </c>
      <c r="I12" s="104"/>
      <c r="J12" s="104">
        <f t="shared" si="2"/>
        <v>1.0220899999999999</v>
      </c>
      <c r="K12" s="105">
        <f t="shared" si="3"/>
        <v>1224</v>
      </c>
      <c r="L12" s="106">
        <v>0</v>
      </c>
      <c r="M12" s="106">
        <v>1224</v>
      </c>
      <c r="N12" s="106">
        <v>673.85</v>
      </c>
      <c r="O12" s="106">
        <v>83.42</v>
      </c>
      <c r="P12" s="105">
        <f t="shared" si="4"/>
        <v>1841.47128</v>
      </c>
      <c r="Q12" s="105">
        <f t="shared" si="5"/>
        <v>1251.0381599999998</v>
      </c>
      <c r="R12" s="105">
        <f t="shared" si="6"/>
        <v>1000.830528</v>
      </c>
      <c r="S12" s="105">
        <f t="shared" si="7"/>
        <v>0</v>
      </c>
      <c r="T12" s="105">
        <f t="shared" ref="T12:U12" si="21">20%*I12*L12</f>
        <v>0</v>
      </c>
      <c r="U12" s="105">
        <f t="shared" si="21"/>
        <v>250.20763199999999</v>
      </c>
      <c r="V12" s="105">
        <f t="shared" si="9"/>
        <v>250.21075200000007</v>
      </c>
      <c r="W12" s="107">
        <f t="shared" si="10"/>
        <v>0.13587545715076266</v>
      </c>
      <c r="X12" s="108">
        <f t="shared" si="11"/>
        <v>0.81767199999999995</v>
      </c>
    </row>
    <row r="13" spans="1:24" ht="14.5" x14ac:dyDescent="0.35">
      <c r="A13" s="101">
        <v>46174</v>
      </c>
      <c r="B13" s="109">
        <v>1193</v>
      </c>
      <c r="C13" s="110">
        <v>0.46334999999999998</v>
      </c>
      <c r="D13" s="110">
        <v>1.0293600000000001</v>
      </c>
      <c r="E13" s="111"/>
      <c r="F13" s="110">
        <v>0.55705000000000005</v>
      </c>
      <c r="G13" s="110">
        <v>2.6499999999999999E-2</v>
      </c>
      <c r="H13" s="104">
        <f t="shared" si="0"/>
        <v>1.5192099999999999</v>
      </c>
      <c r="I13" s="104"/>
      <c r="J13" s="104">
        <f t="shared" si="2"/>
        <v>1.0204</v>
      </c>
      <c r="K13" s="105">
        <f t="shared" si="3"/>
        <v>1193</v>
      </c>
      <c r="L13" s="112"/>
      <c r="M13" s="113">
        <v>1193</v>
      </c>
      <c r="N13" s="113">
        <v>648.46</v>
      </c>
      <c r="O13" s="113">
        <v>77.430000000000007</v>
      </c>
      <c r="P13" s="105">
        <f t="shared" si="4"/>
        <v>1812.4175299999999</v>
      </c>
      <c r="Q13" s="105">
        <f t="shared" si="5"/>
        <v>1217.3371999999999</v>
      </c>
      <c r="R13" s="105">
        <f t="shared" si="6"/>
        <v>973.86976000000004</v>
      </c>
      <c r="S13" s="105">
        <f t="shared" si="7"/>
        <v>31.6145</v>
      </c>
      <c r="T13" s="105">
        <f t="shared" ref="T13:U13" si="22">20%*I13*L13</f>
        <v>0</v>
      </c>
      <c r="U13" s="105">
        <f t="shared" si="22"/>
        <v>243.46744000000001</v>
      </c>
      <c r="V13" s="105">
        <f t="shared" si="9"/>
        <v>267.51776999999993</v>
      </c>
      <c r="W13" s="107">
        <f t="shared" si="10"/>
        <v>0.14760272706035896</v>
      </c>
      <c r="X13" s="108">
        <f t="shared" si="11"/>
        <v>0.81632000000000005</v>
      </c>
    </row>
    <row r="14" spans="1:24" ht="14.5" x14ac:dyDescent="0.35">
      <c r="A14" s="101">
        <v>46204</v>
      </c>
      <c r="B14" s="109">
        <v>1057</v>
      </c>
      <c r="C14" s="110">
        <v>0.47254000000000002</v>
      </c>
      <c r="D14" s="110">
        <v>1.0498000000000001</v>
      </c>
      <c r="E14" s="111"/>
      <c r="F14" s="110">
        <v>0.56167999999999996</v>
      </c>
      <c r="G14" s="110">
        <v>2.7019999999999999E-2</v>
      </c>
      <c r="H14" s="104">
        <f t="shared" si="0"/>
        <v>1.5493600000000001</v>
      </c>
      <c r="I14" s="104"/>
      <c r="J14" s="104">
        <f t="shared" si="2"/>
        <v>1.0342199999999999</v>
      </c>
      <c r="K14" s="105">
        <f t="shared" si="3"/>
        <v>1057</v>
      </c>
      <c r="L14" s="112"/>
      <c r="M14" s="113">
        <v>1057</v>
      </c>
      <c r="N14" s="113">
        <v>592.58000000000004</v>
      </c>
      <c r="O14" s="113">
        <v>76.64</v>
      </c>
      <c r="P14" s="105">
        <f t="shared" si="4"/>
        <v>1637.6735200000001</v>
      </c>
      <c r="Q14" s="105">
        <f t="shared" si="5"/>
        <v>1093.1705399999998</v>
      </c>
      <c r="R14" s="105">
        <f t="shared" si="6"/>
        <v>874.53643199999988</v>
      </c>
      <c r="S14" s="105">
        <f t="shared" si="7"/>
        <v>28.560140000000001</v>
      </c>
      <c r="T14" s="105">
        <f t="shared" ref="T14:U14" si="23">20%*I14*L14</f>
        <v>0</v>
      </c>
      <c r="U14" s="105">
        <f t="shared" si="23"/>
        <v>218.634108</v>
      </c>
      <c r="V14" s="105">
        <f t="shared" si="9"/>
        <v>247.19708800000024</v>
      </c>
      <c r="W14" s="107">
        <f t="shared" si="10"/>
        <v>0.15094405874010849</v>
      </c>
      <c r="X14" s="108">
        <f t="shared" si="11"/>
        <v>0.82737599999999989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511811024" right="0.511811024" top="0.78740157499999996" bottom="0.78740157499999996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ilha16">
    <outlinePr summaryBelow="0" summaryRight="0"/>
  </sheetPr>
  <dimension ref="A1:Z1000"/>
  <sheetViews>
    <sheetView topLeftCell="N1" workbookViewId="0">
      <selection activeCell="X3" sqref="X3:X14"/>
    </sheetView>
  </sheetViews>
  <sheetFormatPr defaultColWidth="14.453125" defaultRowHeight="15" customHeight="1" x14ac:dyDescent="0.35"/>
  <sheetData>
    <row r="1" spans="1:26" ht="14.5" x14ac:dyDescent="0.35">
      <c r="A1" s="50" t="s">
        <v>75</v>
      </c>
      <c r="B1" s="50" t="s">
        <v>179</v>
      </c>
      <c r="C1" s="100" t="s">
        <v>222</v>
      </c>
      <c r="D1" s="100" t="s">
        <v>223</v>
      </c>
      <c r="E1" s="100" t="s">
        <v>224</v>
      </c>
      <c r="F1" s="100" t="s">
        <v>208</v>
      </c>
      <c r="G1" s="100" t="s">
        <v>209</v>
      </c>
      <c r="H1" s="100" t="s">
        <v>210</v>
      </c>
      <c r="I1" s="100" t="s">
        <v>175</v>
      </c>
      <c r="J1" s="100" t="s">
        <v>211</v>
      </c>
      <c r="K1" s="100" t="s">
        <v>212</v>
      </c>
      <c r="L1" s="100" t="s">
        <v>213</v>
      </c>
      <c r="M1" s="50" t="s">
        <v>201</v>
      </c>
      <c r="N1" s="100" t="s">
        <v>214</v>
      </c>
      <c r="O1" s="100" t="s">
        <v>215</v>
      </c>
      <c r="P1" s="50" t="s">
        <v>183</v>
      </c>
      <c r="Q1" s="50" t="s">
        <v>216</v>
      </c>
      <c r="R1" s="100" t="s">
        <v>217</v>
      </c>
      <c r="S1" s="100" t="s">
        <v>218</v>
      </c>
      <c r="T1" s="50" t="s">
        <v>185</v>
      </c>
      <c r="U1" s="50" t="s">
        <v>206</v>
      </c>
      <c r="V1" s="50" t="s">
        <v>219</v>
      </c>
      <c r="W1" s="50" t="s">
        <v>220</v>
      </c>
      <c r="X1" s="50" t="s">
        <v>204</v>
      </c>
      <c r="Y1" s="100" t="s">
        <v>221</v>
      </c>
      <c r="Z1" s="50" t="s">
        <v>196</v>
      </c>
    </row>
    <row r="2" spans="1:26" ht="14.5" x14ac:dyDescent="0.35">
      <c r="A2" s="101">
        <v>45839</v>
      </c>
      <c r="B2" s="102">
        <v>665</v>
      </c>
      <c r="C2" s="103">
        <v>0.40598000000000001</v>
      </c>
      <c r="D2" s="103">
        <f t="shared" ref="D2:E2" si="0">C2</f>
        <v>0.40598000000000001</v>
      </c>
      <c r="E2" s="103">
        <f t="shared" si="0"/>
        <v>0.40598000000000001</v>
      </c>
      <c r="F2" s="103">
        <v>0.87444</v>
      </c>
      <c r="G2" s="103">
        <v>0.66457999999999995</v>
      </c>
      <c r="H2" s="103"/>
      <c r="I2" s="103">
        <v>6.1710000000000001E-2</v>
      </c>
      <c r="J2" s="104">
        <f t="shared" ref="J2:J14" si="1">C2+F2+I2</f>
        <v>1.3421299999999998</v>
      </c>
      <c r="K2" s="104">
        <f t="shared" ref="K2:K3" si="2">C2+G2</f>
        <v>1.07056</v>
      </c>
      <c r="L2" s="104"/>
      <c r="M2" s="105">
        <f t="shared" ref="M2:M14" si="3">N2+O2</f>
        <v>585</v>
      </c>
      <c r="N2" s="106">
        <v>585</v>
      </c>
      <c r="O2" s="106"/>
      <c r="P2" s="106">
        <v>267.45999999999998</v>
      </c>
      <c r="Q2" s="106">
        <f>26.02+2.19+9.11</f>
        <v>37.32</v>
      </c>
      <c r="R2" s="105">
        <f t="shared" ref="R2:R14" si="4">J2*B2</f>
        <v>892.51644999999985</v>
      </c>
      <c r="S2" s="105">
        <f t="shared" ref="S2:S14" si="5">N2*K2+O2*L2</f>
        <v>626.27760000000001</v>
      </c>
      <c r="T2" s="105">
        <f t="shared" ref="T2:T14" si="6">80%*(K2*N2+L2*O2)</f>
        <v>501.02208000000002</v>
      </c>
      <c r="U2" s="105">
        <f t="shared" ref="U2:U14" si="7">I2*M2</f>
        <v>36.100349999999999</v>
      </c>
      <c r="V2" s="105">
        <f t="shared" ref="V2:W2" si="8">20%*K2*N2</f>
        <v>125.25552</v>
      </c>
      <c r="W2" s="105">
        <f t="shared" si="8"/>
        <v>0</v>
      </c>
      <c r="X2" s="105">
        <f t="shared" ref="X2:X14" si="9">SUM(U2:W2)</f>
        <v>161.35587000000001</v>
      </c>
      <c r="Y2" s="107">
        <f t="shared" ref="Y2:Y14" si="10">X2/R2</f>
        <v>0.18078755859345791</v>
      </c>
      <c r="Z2" s="108">
        <f t="shared" ref="Z2:Z14" si="11">T2/M2</f>
        <v>0.85644799999999999</v>
      </c>
    </row>
    <row r="3" spans="1:26" ht="15" customHeight="1" x14ac:dyDescent="0.35">
      <c r="A3" s="101">
        <v>45870</v>
      </c>
      <c r="B3" s="102">
        <v>669</v>
      </c>
      <c r="C3" s="103">
        <v>0.39893000000000001</v>
      </c>
      <c r="D3" s="103">
        <v>0.42599999999999999</v>
      </c>
      <c r="E3" s="103">
        <v>0.39800999999999997</v>
      </c>
      <c r="F3" s="103">
        <v>0.85697000000000001</v>
      </c>
      <c r="G3" s="103">
        <v>0.69899999999999995</v>
      </c>
      <c r="H3" s="103">
        <v>0.48809999999999998</v>
      </c>
      <c r="I3" s="103">
        <v>8.1989999999999993E-2</v>
      </c>
      <c r="J3" s="104">
        <f t="shared" si="1"/>
        <v>1.33789</v>
      </c>
      <c r="K3" s="104">
        <f t="shared" si="2"/>
        <v>1.0979299999999999</v>
      </c>
      <c r="L3" s="104">
        <f t="shared" ref="L3:L14" si="12">C3+H3</f>
        <v>0.88702999999999999</v>
      </c>
      <c r="M3" s="105">
        <f t="shared" si="3"/>
        <v>564</v>
      </c>
      <c r="N3" s="106">
        <v>10</v>
      </c>
      <c r="O3" s="106">
        <v>554</v>
      </c>
      <c r="P3" s="106">
        <v>397.58</v>
      </c>
      <c r="Q3" s="106">
        <f>27.62+15.14+1.82+8.08</f>
        <v>52.660000000000004</v>
      </c>
      <c r="R3" s="105">
        <f t="shared" si="4"/>
        <v>895.04840999999999</v>
      </c>
      <c r="S3" s="105">
        <f t="shared" si="5"/>
        <v>502.39392000000004</v>
      </c>
      <c r="T3" s="105">
        <f t="shared" si="6"/>
        <v>401.91513600000008</v>
      </c>
      <c r="U3" s="105">
        <f t="shared" si="7"/>
        <v>46.242359999999998</v>
      </c>
      <c r="V3" s="105">
        <f t="shared" ref="V3:W3" si="13">20%*K3*N3</f>
        <v>2.1958599999999997</v>
      </c>
      <c r="W3" s="105">
        <f t="shared" si="13"/>
        <v>98.282924000000008</v>
      </c>
      <c r="X3" s="105">
        <f t="shared" si="9"/>
        <v>146.72114400000001</v>
      </c>
      <c r="Y3" s="107">
        <f t="shared" si="10"/>
        <v>0.16392537248348391</v>
      </c>
      <c r="Z3" s="108">
        <f t="shared" si="11"/>
        <v>0.71261548936170227</v>
      </c>
    </row>
    <row r="4" spans="1:26" ht="15" customHeight="1" x14ac:dyDescent="0.35">
      <c r="A4" s="101">
        <v>45901</v>
      </c>
      <c r="B4" s="102">
        <v>742</v>
      </c>
      <c r="C4" s="103">
        <v>0.41315000000000002</v>
      </c>
      <c r="D4" s="103"/>
      <c r="E4" s="103">
        <v>0.41172999999999998</v>
      </c>
      <c r="F4" s="103">
        <v>0.88992000000000004</v>
      </c>
      <c r="G4" s="103"/>
      <c r="H4" s="103">
        <v>0.50490000000000002</v>
      </c>
      <c r="I4" s="103">
        <v>0.11042</v>
      </c>
      <c r="J4" s="104">
        <f t="shared" si="1"/>
        <v>1.4134899999999999</v>
      </c>
      <c r="K4" s="104"/>
      <c r="L4" s="104">
        <f t="shared" si="12"/>
        <v>0.91805000000000003</v>
      </c>
      <c r="M4" s="105">
        <f t="shared" si="3"/>
        <v>614</v>
      </c>
      <c r="N4" s="106"/>
      <c r="O4" s="106">
        <v>614</v>
      </c>
      <c r="P4" s="106">
        <v>448.87</v>
      </c>
      <c r="Q4" s="106">
        <f>27.62+4.77+2.38</f>
        <v>34.770000000000003</v>
      </c>
      <c r="R4" s="105">
        <f t="shared" si="4"/>
        <v>1048.8095799999999</v>
      </c>
      <c r="S4" s="105">
        <f t="shared" si="5"/>
        <v>563.68270000000007</v>
      </c>
      <c r="T4" s="105">
        <f t="shared" si="6"/>
        <v>450.94616000000008</v>
      </c>
      <c r="U4" s="105">
        <f t="shared" si="7"/>
        <v>67.797880000000006</v>
      </c>
      <c r="V4" s="105">
        <f t="shared" ref="V4:W4" si="14">20%*K4*N4</f>
        <v>0</v>
      </c>
      <c r="W4" s="105">
        <f t="shared" si="14"/>
        <v>112.73654000000002</v>
      </c>
      <c r="X4" s="105">
        <f t="shared" si="9"/>
        <v>180.53442000000001</v>
      </c>
      <c r="Y4" s="107">
        <f t="shared" si="10"/>
        <v>0.17213269543171034</v>
      </c>
      <c r="Z4" s="108">
        <f t="shared" si="11"/>
        <v>0.73444000000000009</v>
      </c>
    </row>
    <row r="5" spans="1:26" ht="15" customHeight="1" x14ac:dyDescent="0.35">
      <c r="A5" s="101">
        <v>45931</v>
      </c>
      <c r="B5" s="102"/>
      <c r="C5" s="103"/>
      <c r="D5" s="103"/>
      <c r="E5" s="103"/>
      <c r="F5" s="103"/>
      <c r="G5" s="103"/>
      <c r="H5" s="103"/>
      <c r="I5" s="103"/>
      <c r="J5" s="104">
        <f t="shared" si="1"/>
        <v>0</v>
      </c>
      <c r="K5" s="104"/>
      <c r="L5" s="104">
        <f t="shared" si="12"/>
        <v>0</v>
      </c>
      <c r="M5" s="105">
        <f t="shared" si="3"/>
        <v>0</v>
      </c>
      <c r="N5" s="106"/>
      <c r="O5" s="106"/>
      <c r="P5" s="106"/>
      <c r="Q5" s="106"/>
      <c r="R5" s="105">
        <f t="shared" si="4"/>
        <v>0</v>
      </c>
      <c r="S5" s="105">
        <f t="shared" si="5"/>
        <v>0</v>
      </c>
      <c r="T5" s="105">
        <f t="shared" si="6"/>
        <v>0</v>
      </c>
      <c r="U5" s="105">
        <f t="shared" si="7"/>
        <v>0</v>
      </c>
      <c r="V5" s="105">
        <f t="shared" ref="V5:W5" si="15">20%*K5*N5</f>
        <v>0</v>
      </c>
      <c r="W5" s="105">
        <f t="shared" si="15"/>
        <v>0</v>
      </c>
      <c r="X5" s="105">
        <f t="shared" si="9"/>
        <v>0</v>
      </c>
      <c r="Y5" s="107" t="e">
        <f t="shared" si="10"/>
        <v>#DIV/0!</v>
      </c>
      <c r="Z5" s="108" t="e">
        <f t="shared" si="11"/>
        <v>#DIV/0!</v>
      </c>
    </row>
    <row r="6" spans="1:26" ht="15" customHeight="1" x14ac:dyDescent="0.35">
      <c r="A6" s="101">
        <v>45962</v>
      </c>
      <c r="B6" s="102">
        <v>680</v>
      </c>
      <c r="C6" s="103">
        <v>0.40672000000000003</v>
      </c>
      <c r="D6" s="103"/>
      <c r="E6" s="103">
        <v>0.40672000000000003</v>
      </c>
      <c r="F6" s="103">
        <v>0.87612000000000001</v>
      </c>
      <c r="G6" s="103"/>
      <c r="H6" s="103">
        <v>0.49878</v>
      </c>
      <c r="I6" s="103">
        <v>6.1839999999999999E-2</v>
      </c>
      <c r="J6" s="104">
        <f t="shared" si="1"/>
        <v>1.3446799999999999</v>
      </c>
      <c r="K6" s="104"/>
      <c r="L6" s="104">
        <f t="shared" si="12"/>
        <v>0.90549999999999997</v>
      </c>
      <c r="M6" s="105">
        <f t="shared" si="3"/>
        <v>680</v>
      </c>
      <c r="N6" s="106"/>
      <c r="O6" s="106">
        <v>680</v>
      </c>
      <c r="P6" s="106">
        <v>294.89</v>
      </c>
      <c r="Q6" s="106">
        <f>26.02+8.37+3.91</f>
        <v>38.299999999999997</v>
      </c>
      <c r="R6" s="105">
        <f t="shared" si="4"/>
        <v>914.38239999999996</v>
      </c>
      <c r="S6" s="105">
        <f t="shared" si="5"/>
        <v>615.74</v>
      </c>
      <c r="T6" s="105">
        <f t="shared" si="6"/>
        <v>492.59200000000004</v>
      </c>
      <c r="U6" s="105">
        <f t="shared" si="7"/>
        <v>42.051200000000001</v>
      </c>
      <c r="V6" s="105">
        <f t="shared" ref="V6:W6" si="16">20%*K6*N6</f>
        <v>0</v>
      </c>
      <c r="W6" s="105">
        <f t="shared" si="16"/>
        <v>123.14800000000001</v>
      </c>
      <c r="X6" s="105">
        <f t="shared" si="9"/>
        <v>165.19920000000002</v>
      </c>
      <c r="Y6" s="107">
        <f t="shared" si="10"/>
        <v>0.18066751940982245</v>
      </c>
      <c r="Z6" s="108">
        <f t="shared" si="11"/>
        <v>0.72440000000000004</v>
      </c>
    </row>
    <row r="7" spans="1:26" ht="15" customHeight="1" x14ac:dyDescent="0.35">
      <c r="A7" s="101">
        <v>45992</v>
      </c>
      <c r="B7" s="102">
        <v>705</v>
      </c>
      <c r="C7" s="103">
        <v>0.41666999999999998</v>
      </c>
      <c r="D7" s="103"/>
      <c r="E7" s="103">
        <v>0.41661999999999999</v>
      </c>
      <c r="F7" s="103">
        <v>0.89748000000000006</v>
      </c>
      <c r="G7" s="103"/>
      <c r="H7" s="103">
        <v>0.51095000000000002</v>
      </c>
      <c r="I7" s="103">
        <f>0.01156+0.03589</f>
        <v>4.7449999999999999E-2</v>
      </c>
      <c r="J7" s="104">
        <f t="shared" si="1"/>
        <v>1.3616000000000001</v>
      </c>
      <c r="K7" s="104"/>
      <c r="L7" s="104">
        <f t="shared" si="12"/>
        <v>0.92762</v>
      </c>
      <c r="M7" s="105">
        <f t="shared" si="3"/>
        <v>705</v>
      </c>
      <c r="N7" s="106"/>
      <c r="O7" s="106">
        <v>705</v>
      </c>
      <c r="P7" s="106">
        <v>328.49</v>
      </c>
      <c r="Q7" s="106">
        <f>19.57+24.81+1.76+9.79</f>
        <v>55.929999999999993</v>
      </c>
      <c r="R7" s="105">
        <f t="shared" si="4"/>
        <v>959.92800000000011</v>
      </c>
      <c r="S7" s="105">
        <f t="shared" si="5"/>
        <v>653.97209999999995</v>
      </c>
      <c r="T7" s="105">
        <f t="shared" si="6"/>
        <v>523.17768000000001</v>
      </c>
      <c r="U7" s="105">
        <f t="shared" si="7"/>
        <v>33.452249999999999</v>
      </c>
      <c r="V7" s="105">
        <f t="shared" ref="V7:W7" si="17">20%*K7*N7</f>
        <v>0</v>
      </c>
      <c r="W7" s="105">
        <f t="shared" si="17"/>
        <v>130.79442</v>
      </c>
      <c r="X7" s="105">
        <f t="shared" si="9"/>
        <v>164.24666999999999</v>
      </c>
      <c r="Y7" s="107">
        <f t="shared" si="10"/>
        <v>0.17110311398354874</v>
      </c>
      <c r="Z7" s="108">
        <f t="shared" si="11"/>
        <v>0.74209599999999998</v>
      </c>
    </row>
    <row r="8" spans="1:26" ht="15" customHeight="1" x14ac:dyDescent="0.35">
      <c r="A8" s="101">
        <v>46023</v>
      </c>
      <c r="B8" s="102">
        <v>782</v>
      </c>
      <c r="C8" s="103">
        <v>0.41589999999999999</v>
      </c>
      <c r="D8" s="103"/>
      <c r="E8" s="103">
        <v>0.41588000000000003</v>
      </c>
      <c r="F8" s="103">
        <v>0.89583999999999997</v>
      </c>
      <c r="G8" s="103"/>
      <c r="H8" s="103">
        <v>0.45306000000000002</v>
      </c>
      <c r="I8" s="103">
        <v>1.4999999999999999E-2</v>
      </c>
      <c r="J8" s="104">
        <f t="shared" si="1"/>
        <v>1.3267399999999998</v>
      </c>
      <c r="K8" s="104"/>
      <c r="L8" s="104">
        <f t="shared" si="12"/>
        <v>0.86895999999999995</v>
      </c>
      <c r="M8" s="105">
        <f t="shared" si="3"/>
        <v>782</v>
      </c>
      <c r="N8" s="106"/>
      <c r="O8" s="106">
        <v>782</v>
      </c>
      <c r="P8" s="106">
        <v>379.31</v>
      </c>
      <c r="Q8" s="106">
        <f>5.31+23.92+0.88+2.92</f>
        <v>33.03</v>
      </c>
      <c r="R8" s="105">
        <f t="shared" si="4"/>
        <v>1037.5106799999999</v>
      </c>
      <c r="S8" s="105">
        <f t="shared" si="5"/>
        <v>679.52671999999995</v>
      </c>
      <c r="T8" s="105">
        <f t="shared" si="6"/>
        <v>543.62137599999994</v>
      </c>
      <c r="U8" s="105">
        <f t="shared" si="7"/>
        <v>11.73</v>
      </c>
      <c r="V8" s="105">
        <f t="shared" ref="V8:W8" si="18">20%*K8*N8</f>
        <v>0</v>
      </c>
      <c r="W8" s="105">
        <f t="shared" si="18"/>
        <v>135.90534400000001</v>
      </c>
      <c r="X8" s="105">
        <f t="shared" si="9"/>
        <v>147.635344</v>
      </c>
      <c r="Y8" s="107">
        <f t="shared" si="10"/>
        <v>0.14229766193828483</v>
      </c>
      <c r="Z8" s="108">
        <f t="shared" si="11"/>
        <v>0.6951679999999999</v>
      </c>
    </row>
    <row r="9" spans="1:26" ht="15" customHeight="1" x14ac:dyDescent="0.35">
      <c r="A9" s="101">
        <v>46054</v>
      </c>
      <c r="B9" s="102">
        <v>717</v>
      </c>
      <c r="C9" s="103">
        <v>0.41227999999999998</v>
      </c>
      <c r="D9" s="103"/>
      <c r="E9" s="103">
        <v>0.41202</v>
      </c>
      <c r="F9" s="103">
        <v>0.88797999999999999</v>
      </c>
      <c r="G9" s="103"/>
      <c r="H9" s="103">
        <v>0.44888</v>
      </c>
      <c r="I9" s="103">
        <v>0</v>
      </c>
      <c r="J9" s="104">
        <f t="shared" si="1"/>
        <v>1.30026</v>
      </c>
      <c r="K9" s="104"/>
      <c r="L9" s="104">
        <f t="shared" si="12"/>
        <v>0.86115999999999993</v>
      </c>
      <c r="M9" s="105">
        <f t="shared" si="3"/>
        <v>495.8</v>
      </c>
      <c r="N9" s="106"/>
      <c r="O9" s="106">
        <v>495.8</v>
      </c>
      <c r="P9" s="106">
        <v>537.08000000000004</v>
      </c>
      <c r="Q9" s="106">
        <f>5.89+23.92+2.84</f>
        <v>32.650000000000006</v>
      </c>
      <c r="R9" s="105">
        <f t="shared" si="4"/>
        <v>932.28642000000002</v>
      </c>
      <c r="S9" s="105">
        <f t="shared" si="5"/>
        <v>426.96312799999998</v>
      </c>
      <c r="T9" s="105">
        <f t="shared" si="6"/>
        <v>341.57050240000001</v>
      </c>
      <c r="U9" s="105">
        <f t="shared" si="7"/>
        <v>0</v>
      </c>
      <c r="V9" s="105">
        <f t="shared" ref="V9:W9" si="19">20%*K9*N9</f>
        <v>0</v>
      </c>
      <c r="W9" s="105">
        <f t="shared" si="19"/>
        <v>85.392625600000002</v>
      </c>
      <c r="X9" s="105">
        <f t="shared" si="9"/>
        <v>85.392625600000002</v>
      </c>
      <c r="Y9" s="107">
        <f t="shared" si="10"/>
        <v>9.1594840135073505E-2</v>
      </c>
      <c r="Z9" s="108">
        <f t="shared" si="11"/>
        <v>0.68892799999999998</v>
      </c>
    </row>
    <row r="10" spans="1:26" ht="15" customHeight="1" x14ac:dyDescent="0.35">
      <c r="A10" s="101">
        <v>46082</v>
      </c>
      <c r="B10" s="102">
        <v>781</v>
      </c>
      <c r="C10" s="103">
        <v>0.40081</v>
      </c>
      <c r="D10" s="103"/>
      <c r="E10" s="103">
        <v>0.40081</v>
      </c>
      <c r="F10" s="103">
        <v>0.86524999999999996</v>
      </c>
      <c r="G10" s="103"/>
      <c r="H10" s="103">
        <v>0.46293000000000001</v>
      </c>
      <c r="I10" s="103">
        <v>0</v>
      </c>
      <c r="J10" s="104">
        <f t="shared" si="1"/>
        <v>1.26606</v>
      </c>
      <c r="K10" s="104"/>
      <c r="L10" s="104">
        <f t="shared" si="12"/>
        <v>0.86373999999999995</v>
      </c>
      <c r="M10" s="105">
        <f t="shared" si="3"/>
        <v>781</v>
      </c>
      <c r="N10" s="106"/>
      <c r="O10" s="106">
        <v>781</v>
      </c>
      <c r="P10" s="106">
        <v>363.3</v>
      </c>
      <c r="Q10" s="106">
        <f>17.21+27.43+1.16+3.29</f>
        <v>49.089999999999996</v>
      </c>
      <c r="R10" s="105">
        <f t="shared" si="4"/>
        <v>988.79286000000002</v>
      </c>
      <c r="S10" s="105">
        <f t="shared" si="5"/>
        <v>674.58093999999994</v>
      </c>
      <c r="T10" s="105">
        <f t="shared" si="6"/>
        <v>539.66475200000002</v>
      </c>
      <c r="U10" s="105">
        <f t="shared" si="7"/>
        <v>0</v>
      </c>
      <c r="V10" s="105">
        <f t="shared" ref="V10:W10" si="20">20%*K10*N10</f>
        <v>0</v>
      </c>
      <c r="W10" s="105">
        <f t="shared" si="20"/>
        <v>134.91618800000001</v>
      </c>
      <c r="X10" s="105">
        <f t="shared" si="9"/>
        <v>134.91618800000001</v>
      </c>
      <c r="Y10" s="107">
        <f t="shared" si="10"/>
        <v>0.13644535014138351</v>
      </c>
      <c r="Z10" s="108">
        <f t="shared" si="11"/>
        <v>0.69099200000000005</v>
      </c>
    </row>
    <row r="11" spans="1:26" ht="14.5" x14ac:dyDescent="0.35">
      <c r="A11" s="101">
        <v>46113</v>
      </c>
      <c r="B11" s="102">
        <v>0</v>
      </c>
      <c r="C11" s="103">
        <v>0.46700000000000003</v>
      </c>
      <c r="D11" s="103"/>
      <c r="E11" s="103">
        <v>0.46699000000000002</v>
      </c>
      <c r="F11" s="103">
        <v>1.03746</v>
      </c>
      <c r="G11" s="103"/>
      <c r="H11" s="103">
        <v>0.55508999999999997</v>
      </c>
      <c r="I11" s="103">
        <v>0</v>
      </c>
      <c r="J11" s="104">
        <f t="shared" si="1"/>
        <v>1.5044600000000001</v>
      </c>
      <c r="K11" s="104"/>
      <c r="L11" s="104">
        <f t="shared" si="12"/>
        <v>1.0220899999999999</v>
      </c>
      <c r="M11" s="105">
        <f t="shared" si="3"/>
        <v>0</v>
      </c>
      <c r="N11" s="106"/>
      <c r="O11" s="106">
        <v>0</v>
      </c>
      <c r="P11" s="106">
        <v>0</v>
      </c>
      <c r="Q11" s="106">
        <v>0</v>
      </c>
      <c r="R11" s="105">
        <f t="shared" si="4"/>
        <v>0</v>
      </c>
      <c r="S11" s="105">
        <f t="shared" si="5"/>
        <v>0</v>
      </c>
      <c r="T11" s="105">
        <f t="shared" si="6"/>
        <v>0</v>
      </c>
      <c r="U11" s="105">
        <f t="shared" si="7"/>
        <v>0</v>
      </c>
      <c r="V11" s="105">
        <f t="shared" ref="V11:W11" si="21">20%*K11*N11</f>
        <v>0</v>
      </c>
      <c r="W11" s="105">
        <f t="shared" si="21"/>
        <v>0</v>
      </c>
      <c r="X11" s="105">
        <f t="shared" si="9"/>
        <v>0</v>
      </c>
      <c r="Y11" s="107" t="e">
        <f t="shared" si="10"/>
        <v>#DIV/0!</v>
      </c>
      <c r="Z11" s="108" t="e">
        <f t="shared" si="11"/>
        <v>#DIV/0!</v>
      </c>
    </row>
    <row r="12" spans="1:26" ht="14.5" x14ac:dyDescent="0.35">
      <c r="A12" s="101">
        <v>46143</v>
      </c>
      <c r="B12" s="102">
        <v>1262</v>
      </c>
      <c r="C12" s="103">
        <v>0.46700000000000003</v>
      </c>
      <c r="D12" s="103"/>
      <c r="E12" s="103">
        <v>0.46699000000000002</v>
      </c>
      <c r="F12" s="103">
        <v>1.03746</v>
      </c>
      <c r="G12" s="103"/>
      <c r="H12" s="103">
        <v>0.55508999999999997</v>
      </c>
      <c r="I12" s="103">
        <v>0</v>
      </c>
      <c r="J12" s="104">
        <f t="shared" si="1"/>
        <v>1.5044600000000001</v>
      </c>
      <c r="K12" s="104"/>
      <c r="L12" s="104">
        <f t="shared" si="12"/>
        <v>1.0220899999999999</v>
      </c>
      <c r="M12" s="105">
        <f t="shared" si="3"/>
        <v>1262</v>
      </c>
      <c r="N12" s="106"/>
      <c r="O12" s="106">
        <v>1262</v>
      </c>
      <c r="P12" s="106">
        <v>664.57</v>
      </c>
      <c r="Q12" s="106">
        <v>55.73</v>
      </c>
      <c r="R12" s="105">
        <f t="shared" si="4"/>
        <v>1898.6285200000002</v>
      </c>
      <c r="S12" s="105">
        <f t="shared" si="5"/>
        <v>1289.8775799999999</v>
      </c>
      <c r="T12" s="105">
        <f t="shared" si="6"/>
        <v>1031.9020639999999</v>
      </c>
      <c r="U12" s="105">
        <f t="shared" si="7"/>
        <v>0</v>
      </c>
      <c r="V12" s="105">
        <f t="shared" ref="V12:W12" si="22">20%*K12*N12</f>
        <v>0</v>
      </c>
      <c r="W12" s="105">
        <f t="shared" si="22"/>
        <v>257.97551599999997</v>
      </c>
      <c r="X12" s="105">
        <f t="shared" si="9"/>
        <v>257.97551599999997</v>
      </c>
      <c r="Y12" s="107">
        <f t="shared" si="10"/>
        <v>0.13587466599311379</v>
      </c>
      <c r="Z12" s="108">
        <f t="shared" si="11"/>
        <v>0.81767199999999995</v>
      </c>
    </row>
    <row r="13" spans="1:26" ht="14.5" x14ac:dyDescent="0.35">
      <c r="A13" s="101">
        <v>46174</v>
      </c>
      <c r="B13" s="109">
        <v>665</v>
      </c>
      <c r="C13" s="110">
        <v>0.46332000000000001</v>
      </c>
      <c r="D13" s="110">
        <v>0</v>
      </c>
      <c r="E13" s="110">
        <v>0.46332000000000001</v>
      </c>
      <c r="F13" s="110">
        <v>1.02935</v>
      </c>
      <c r="G13" s="111"/>
      <c r="H13" s="110">
        <v>0.55074999999999996</v>
      </c>
      <c r="I13" s="110">
        <v>2.648E-2</v>
      </c>
      <c r="J13" s="104">
        <f t="shared" si="1"/>
        <v>1.51915</v>
      </c>
      <c r="K13" s="104"/>
      <c r="L13" s="104">
        <f t="shared" si="12"/>
        <v>1.01407</v>
      </c>
      <c r="M13" s="105">
        <f t="shared" si="3"/>
        <v>665</v>
      </c>
      <c r="N13" s="112"/>
      <c r="O13" s="113">
        <v>665</v>
      </c>
      <c r="P13" s="113">
        <v>359.11</v>
      </c>
      <c r="Q13" s="113">
        <v>40.81</v>
      </c>
      <c r="R13" s="105">
        <f t="shared" si="4"/>
        <v>1010.23475</v>
      </c>
      <c r="S13" s="105">
        <f t="shared" si="5"/>
        <v>674.35654999999997</v>
      </c>
      <c r="T13" s="105">
        <f t="shared" si="6"/>
        <v>539.48523999999998</v>
      </c>
      <c r="U13" s="105">
        <f t="shared" si="7"/>
        <v>17.609200000000001</v>
      </c>
      <c r="V13" s="105">
        <f t="shared" ref="V13:W13" si="23">20%*K13*N13</f>
        <v>0</v>
      </c>
      <c r="W13" s="105">
        <f t="shared" si="23"/>
        <v>134.87131000000002</v>
      </c>
      <c r="X13" s="105">
        <f t="shared" si="9"/>
        <v>152.48051000000004</v>
      </c>
      <c r="Y13" s="107">
        <f t="shared" si="10"/>
        <v>0.15093572063324889</v>
      </c>
      <c r="Z13" s="108">
        <f t="shared" si="11"/>
        <v>0.81125599999999998</v>
      </c>
    </row>
    <row r="14" spans="1:26" ht="14.5" x14ac:dyDescent="0.35">
      <c r="A14" s="101">
        <v>46204</v>
      </c>
      <c r="B14" s="109">
        <v>627</v>
      </c>
      <c r="C14" s="110">
        <v>0.47254000000000002</v>
      </c>
      <c r="D14" s="110">
        <v>0</v>
      </c>
      <c r="E14" s="110">
        <v>0.47249000000000002</v>
      </c>
      <c r="F14" s="110">
        <v>1.0497799999999999</v>
      </c>
      <c r="G14" s="110">
        <v>0</v>
      </c>
      <c r="H14" s="110">
        <v>0.56167</v>
      </c>
      <c r="I14" s="110">
        <v>2.7E-2</v>
      </c>
      <c r="J14" s="104">
        <f t="shared" si="1"/>
        <v>1.5493199999999998</v>
      </c>
      <c r="K14" s="104"/>
      <c r="L14" s="104">
        <f t="shared" si="12"/>
        <v>1.0342100000000001</v>
      </c>
      <c r="M14" s="105">
        <f t="shared" si="3"/>
        <v>627</v>
      </c>
      <c r="N14" s="112"/>
      <c r="O14" s="113">
        <v>627</v>
      </c>
      <c r="P14" s="113">
        <v>341.64</v>
      </c>
      <c r="Q14" s="113">
        <v>35.56</v>
      </c>
      <c r="R14" s="105">
        <f t="shared" si="4"/>
        <v>971.42363999999986</v>
      </c>
      <c r="S14" s="105">
        <f t="shared" si="5"/>
        <v>648.44967000000008</v>
      </c>
      <c r="T14" s="105">
        <f t="shared" si="6"/>
        <v>518.75973600000009</v>
      </c>
      <c r="U14" s="105">
        <f t="shared" si="7"/>
        <v>16.928999999999998</v>
      </c>
      <c r="V14" s="105">
        <f t="shared" ref="V14:W14" si="24">20%*K14*N14</f>
        <v>0</v>
      </c>
      <c r="W14" s="105">
        <f t="shared" si="24"/>
        <v>129.68993400000002</v>
      </c>
      <c r="X14" s="105">
        <f t="shared" si="9"/>
        <v>146.61893400000002</v>
      </c>
      <c r="Y14" s="107">
        <f t="shared" si="10"/>
        <v>0.15093202179020479</v>
      </c>
      <c r="Z14" s="108">
        <f t="shared" si="11"/>
        <v>0.8273680000000001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511811024" right="0.511811024" top="0.78740157499999996" bottom="0.78740157499999996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ilha17">
    <outlinePr summaryBelow="0" summaryRight="0"/>
  </sheetPr>
  <dimension ref="A1:Z1000"/>
  <sheetViews>
    <sheetView topLeftCell="R1" workbookViewId="0">
      <selection activeCell="X7" sqref="X2:X7"/>
    </sheetView>
  </sheetViews>
  <sheetFormatPr defaultColWidth="14.453125" defaultRowHeight="15" customHeight="1" x14ac:dyDescent="0.35"/>
  <sheetData>
    <row r="1" spans="1:26" ht="14.5" x14ac:dyDescent="0.35">
      <c r="A1" s="50" t="s">
        <v>75</v>
      </c>
      <c r="B1" s="50" t="s">
        <v>179</v>
      </c>
      <c r="C1" s="100" t="s">
        <v>222</v>
      </c>
      <c r="D1" s="100" t="s">
        <v>223</v>
      </c>
      <c r="E1" s="100" t="s">
        <v>224</v>
      </c>
      <c r="F1" s="100" t="s">
        <v>208</v>
      </c>
      <c r="G1" s="100" t="s">
        <v>209</v>
      </c>
      <c r="H1" s="100" t="s">
        <v>210</v>
      </c>
      <c r="I1" s="100" t="s">
        <v>175</v>
      </c>
      <c r="J1" s="100" t="s">
        <v>211</v>
      </c>
      <c r="K1" s="100" t="s">
        <v>212</v>
      </c>
      <c r="L1" s="100" t="s">
        <v>213</v>
      </c>
      <c r="M1" s="50" t="s">
        <v>201</v>
      </c>
      <c r="N1" s="100" t="s">
        <v>214</v>
      </c>
      <c r="O1" s="100" t="s">
        <v>215</v>
      </c>
      <c r="P1" s="50" t="s">
        <v>183</v>
      </c>
      <c r="Q1" s="50" t="s">
        <v>216</v>
      </c>
      <c r="R1" s="100" t="s">
        <v>217</v>
      </c>
      <c r="S1" s="100" t="s">
        <v>218</v>
      </c>
      <c r="T1" s="50" t="s">
        <v>185</v>
      </c>
      <c r="U1" s="50" t="s">
        <v>206</v>
      </c>
      <c r="V1" s="50" t="s">
        <v>219</v>
      </c>
      <c r="W1" s="50" t="s">
        <v>220</v>
      </c>
      <c r="X1" s="50" t="s">
        <v>204</v>
      </c>
      <c r="Y1" s="100" t="s">
        <v>221</v>
      </c>
      <c r="Z1" s="50" t="s">
        <v>196</v>
      </c>
    </row>
    <row r="2" spans="1:26" ht="15" customHeight="1" x14ac:dyDescent="0.35">
      <c r="A2" s="101">
        <v>46082</v>
      </c>
      <c r="B2" s="102">
        <v>3008</v>
      </c>
      <c r="C2" s="103">
        <v>0.41566999999999998</v>
      </c>
      <c r="D2" s="103"/>
      <c r="E2" s="103">
        <v>0.41566999999999998</v>
      </c>
      <c r="F2" s="103">
        <v>0.90639999999999998</v>
      </c>
      <c r="G2" s="103"/>
      <c r="H2" s="103">
        <v>0.48497000000000001</v>
      </c>
      <c r="I2" s="103">
        <v>0</v>
      </c>
      <c r="J2" s="104">
        <f t="shared" ref="J2:J6" si="0">C2+F2+I2</f>
        <v>1.3220700000000001</v>
      </c>
      <c r="K2" s="104"/>
      <c r="L2" s="104">
        <f t="shared" ref="L2:L6" si="1">C2+H2</f>
        <v>0.90064</v>
      </c>
      <c r="M2" s="105">
        <f t="shared" ref="M2:M6" si="2">N2+O2</f>
        <v>3008</v>
      </c>
      <c r="N2" s="106"/>
      <c r="O2" s="106">
        <v>3008</v>
      </c>
      <c r="P2" s="106">
        <v>1347.84</v>
      </c>
      <c r="Q2" s="106">
        <f>75.87+4.3</f>
        <v>80.17</v>
      </c>
      <c r="R2" s="105">
        <f t="shared" ref="R2:R7" si="3">J2*B2</f>
        <v>3976.7865600000005</v>
      </c>
      <c r="S2" s="105">
        <f t="shared" ref="S2:S6" si="4">N2*K2+O2*L2</f>
        <v>2709.1251200000002</v>
      </c>
      <c r="T2" s="105">
        <f t="shared" ref="T2:T6" si="5">80%*(K2*N2+L2*O2)</f>
        <v>2167.3000960000004</v>
      </c>
      <c r="U2" s="105">
        <f t="shared" ref="U2:U6" si="6">I2*M2</f>
        <v>0</v>
      </c>
      <c r="V2" s="105">
        <f t="shared" ref="V2:W2" si="7">20%*K2*N2</f>
        <v>0</v>
      </c>
      <c r="W2" s="105">
        <f t="shared" si="7"/>
        <v>541.82502399999998</v>
      </c>
      <c r="X2" s="105">
        <f t="shared" ref="X2:X6" si="8">SUM(U2:W2)</f>
        <v>541.82502399999998</v>
      </c>
      <c r="Y2" s="107">
        <f t="shared" ref="Y2:Y6" si="9">X2/R2</f>
        <v>0.13624694607698531</v>
      </c>
      <c r="Z2" s="108">
        <f t="shared" ref="Z2:Z6" si="10">T2/M2</f>
        <v>0.72051200000000015</v>
      </c>
    </row>
    <row r="3" spans="1:26" ht="15" customHeight="1" x14ac:dyDescent="0.35">
      <c r="A3" s="101">
        <v>46113</v>
      </c>
      <c r="B3" s="102">
        <v>1647</v>
      </c>
      <c r="C3" s="103">
        <v>0.46554000000000001</v>
      </c>
      <c r="D3" s="103"/>
      <c r="E3" s="103">
        <v>0.46554000000000001</v>
      </c>
      <c r="F3" s="103">
        <v>1.03424</v>
      </c>
      <c r="G3" s="103"/>
      <c r="H3" s="103">
        <v>0.55335999999999996</v>
      </c>
      <c r="I3" s="103">
        <v>0</v>
      </c>
      <c r="J3" s="104">
        <f t="shared" si="0"/>
        <v>1.4997800000000001</v>
      </c>
      <c r="K3" s="104"/>
      <c r="L3" s="104">
        <f t="shared" si="1"/>
        <v>1.0188999999999999</v>
      </c>
      <c r="M3" s="105">
        <f t="shared" si="2"/>
        <v>1647</v>
      </c>
      <c r="N3" s="106"/>
      <c r="O3" s="106">
        <v>1647</v>
      </c>
      <c r="P3" s="106">
        <v>867.88</v>
      </c>
      <c r="Q3" s="106">
        <v>75.87</v>
      </c>
      <c r="R3" s="105">
        <f t="shared" si="3"/>
        <v>2470.1376600000003</v>
      </c>
      <c r="S3" s="105">
        <f t="shared" si="4"/>
        <v>1678.1282999999999</v>
      </c>
      <c r="T3" s="105">
        <f t="shared" si="5"/>
        <v>1342.5026399999999</v>
      </c>
      <c r="U3" s="105">
        <f t="shared" si="6"/>
        <v>0</v>
      </c>
      <c r="V3" s="105">
        <f t="shared" ref="V3:W3" si="11">20%*K3*N3</f>
        <v>0</v>
      </c>
      <c r="W3" s="105">
        <f t="shared" si="11"/>
        <v>335.62565999999998</v>
      </c>
      <c r="X3" s="105">
        <f t="shared" si="8"/>
        <v>335.62565999999998</v>
      </c>
      <c r="Y3" s="107">
        <f t="shared" si="9"/>
        <v>0.13587326141167369</v>
      </c>
      <c r="Z3" s="108">
        <f t="shared" si="10"/>
        <v>0.81511999999999996</v>
      </c>
    </row>
    <row r="4" spans="1:26" ht="15" customHeight="1" x14ac:dyDescent="0.35">
      <c r="A4" s="101">
        <v>46143</v>
      </c>
      <c r="B4" s="102">
        <v>3678</v>
      </c>
      <c r="C4" s="103">
        <v>0.46700999999999998</v>
      </c>
      <c r="D4" s="103"/>
      <c r="E4" s="103">
        <v>0.46700999999999998</v>
      </c>
      <c r="F4" s="103">
        <v>1.03748</v>
      </c>
      <c r="G4" s="103"/>
      <c r="H4" s="103">
        <v>0.55510000000000004</v>
      </c>
      <c r="I4" s="103">
        <v>2.155E-2</v>
      </c>
      <c r="J4" s="104">
        <f t="shared" si="0"/>
        <v>1.5260399999999998</v>
      </c>
      <c r="K4" s="104"/>
      <c r="L4" s="104">
        <f t="shared" si="1"/>
        <v>1.0221100000000001</v>
      </c>
      <c r="M4" s="105">
        <f t="shared" si="2"/>
        <v>3678</v>
      </c>
      <c r="N4" s="106"/>
      <c r="O4" s="106">
        <v>3678</v>
      </c>
      <c r="P4" s="106">
        <v>1852.54</v>
      </c>
      <c r="Q4" s="106">
        <v>78.319999999999993</v>
      </c>
      <c r="R4" s="105">
        <f t="shared" si="3"/>
        <v>5612.7751199999993</v>
      </c>
      <c r="S4" s="105">
        <f t="shared" si="4"/>
        <v>3759.3205800000001</v>
      </c>
      <c r="T4" s="105">
        <f t="shared" si="5"/>
        <v>3007.4564640000003</v>
      </c>
      <c r="U4" s="105">
        <f t="shared" si="6"/>
        <v>79.260899999999992</v>
      </c>
      <c r="V4" s="105">
        <f t="shared" ref="V4:W4" si="12">20%*K4*N4</f>
        <v>0</v>
      </c>
      <c r="W4" s="105">
        <f t="shared" si="12"/>
        <v>751.86411600000008</v>
      </c>
      <c r="X4" s="105">
        <f t="shared" si="8"/>
        <v>831.12501600000007</v>
      </c>
      <c r="Y4" s="107">
        <f t="shared" si="9"/>
        <v>0.14807737673979715</v>
      </c>
      <c r="Z4" s="108">
        <f t="shared" si="10"/>
        <v>0.81768800000000008</v>
      </c>
    </row>
    <row r="5" spans="1:26" ht="15" customHeight="1" x14ac:dyDescent="0.35">
      <c r="A5" s="101">
        <v>46174</v>
      </c>
      <c r="B5" s="102">
        <v>3572</v>
      </c>
      <c r="C5" s="103">
        <v>0.46337</v>
      </c>
      <c r="D5" s="103"/>
      <c r="E5" s="103">
        <v>0.46337</v>
      </c>
      <c r="F5" s="103">
        <v>1.02938</v>
      </c>
      <c r="G5" s="103"/>
      <c r="H5" s="103">
        <v>0.55076000000000003</v>
      </c>
      <c r="I5" s="103">
        <v>2.6509999999999999E-2</v>
      </c>
      <c r="J5" s="104">
        <f t="shared" si="0"/>
        <v>1.5192600000000001</v>
      </c>
      <c r="K5" s="104"/>
      <c r="L5" s="104">
        <f t="shared" si="1"/>
        <v>1.01413</v>
      </c>
      <c r="M5" s="105">
        <f t="shared" si="2"/>
        <v>3572</v>
      </c>
      <c r="N5" s="106"/>
      <c r="O5" s="106">
        <v>3572</v>
      </c>
      <c r="P5" s="106">
        <v>1660.59</v>
      </c>
      <c r="Q5" s="106">
        <f>78.32+35.48+0.59-163.45</f>
        <v>-49.06</v>
      </c>
      <c r="R5" s="105">
        <f t="shared" si="3"/>
        <v>5426.7967200000003</v>
      </c>
      <c r="S5" s="105">
        <f t="shared" si="4"/>
        <v>3622.4723599999998</v>
      </c>
      <c r="T5" s="105">
        <f t="shared" si="5"/>
        <v>2897.9778879999999</v>
      </c>
      <c r="U5" s="105">
        <f t="shared" si="6"/>
        <v>94.693719999999999</v>
      </c>
      <c r="V5" s="105">
        <f t="shared" ref="V5:W5" si="13">20%*K5*N5</f>
        <v>0</v>
      </c>
      <c r="W5" s="105">
        <f t="shared" si="13"/>
        <v>724.49447199999997</v>
      </c>
      <c r="X5" s="105">
        <f t="shared" si="8"/>
        <v>819.18819199999996</v>
      </c>
      <c r="Y5" s="107">
        <f t="shared" si="9"/>
        <v>0.15095243737082525</v>
      </c>
      <c r="Z5" s="108">
        <f t="shared" si="10"/>
        <v>0.81130400000000003</v>
      </c>
    </row>
    <row r="6" spans="1:26" ht="15" customHeight="1" x14ac:dyDescent="0.35">
      <c r="A6" s="101">
        <v>46204</v>
      </c>
      <c r="B6" s="102">
        <v>3535</v>
      </c>
      <c r="C6" s="103">
        <v>0.47255999999999998</v>
      </c>
      <c r="D6" s="103"/>
      <c r="E6" s="103">
        <v>0.47255999999999998</v>
      </c>
      <c r="F6" s="103">
        <v>1.04982</v>
      </c>
      <c r="G6" s="103"/>
      <c r="H6" s="103">
        <v>0.56169000000000002</v>
      </c>
      <c r="I6" s="103">
        <v>2.7040000000000002E-2</v>
      </c>
      <c r="J6" s="104">
        <f t="shared" si="0"/>
        <v>1.54942</v>
      </c>
      <c r="K6" s="104"/>
      <c r="L6" s="104">
        <f t="shared" si="1"/>
        <v>1.0342500000000001</v>
      </c>
      <c r="M6" s="105">
        <f t="shared" si="2"/>
        <v>3535</v>
      </c>
      <c r="N6" s="106"/>
      <c r="O6" s="106">
        <v>3535</v>
      </c>
      <c r="P6" s="106">
        <v>1803.85</v>
      </c>
      <c r="Q6" s="106">
        <v>78.319999999999993</v>
      </c>
      <c r="R6" s="105">
        <f t="shared" si="3"/>
        <v>5477.1997000000001</v>
      </c>
      <c r="S6" s="105">
        <f t="shared" si="4"/>
        <v>3656.0737500000005</v>
      </c>
      <c r="T6" s="105">
        <f t="shared" si="5"/>
        <v>2924.8590000000004</v>
      </c>
      <c r="U6" s="105">
        <f t="shared" si="6"/>
        <v>95.586400000000012</v>
      </c>
      <c r="V6" s="105">
        <f t="shared" ref="V6:W6" si="14">20%*K6*N6</f>
        <v>0</v>
      </c>
      <c r="W6" s="105">
        <f t="shared" si="14"/>
        <v>731.21475000000009</v>
      </c>
      <c r="X6" s="105">
        <f t="shared" si="8"/>
        <v>826.80115000000012</v>
      </c>
      <c r="Y6" s="107">
        <f t="shared" si="9"/>
        <v>0.15095325992952202</v>
      </c>
      <c r="Z6" s="108">
        <f t="shared" si="10"/>
        <v>0.82740000000000014</v>
      </c>
    </row>
    <row r="7" spans="1:26" ht="15" customHeight="1" x14ac:dyDescent="0.35">
      <c r="A7" s="101">
        <v>46235</v>
      </c>
      <c r="B7" s="102">
        <v>3593</v>
      </c>
      <c r="C7" s="103">
        <v>0.44803999999999999</v>
      </c>
      <c r="D7" s="103"/>
      <c r="E7" s="103">
        <v>0.44803999999999999</v>
      </c>
      <c r="F7" s="103">
        <v>0.99533000000000005</v>
      </c>
      <c r="G7" s="103"/>
      <c r="H7" s="103">
        <v>0.53254000000000001</v>
      </c>
      <c r="I7" s="103">
        <v>2.563E-2</v>
      </c>
      <c r="J7" s="104">
        <f t="shared" ref="J7" si="15">C7+F7+I7</f>
        <v>1.4690000000000001</v>
      </c>
      <c r="K7" s="104"/>
      <c r="L7" s="104">
        <f t="shared" ref="L7" si="16">C7+H7</f>
        <v>0.98058000000000001</v>
      </c>
      <c r="M7" s="105">
        <f t="shared" ref="M7" si="17">N7+O7</f>
        <v>3593</v>
      </c>
      <c r="N7" s="106"/>
      <c r="O7" s="106">
        <v>3593</v>
      </c>
      <c r="P7" s="106">
        <v>1741.11</v>
      </c>
      <c r="Q7" s="106">
        <v>78.319999999999993</v>
      </c>
      <c r="R7" s="105">
        <f t="shared" si="3"/>
        <v>5278.1170000000002</v>
      </c>
      <c r="S7" s="105">
        <f t="shared" ref="S7" si="18">N7*K7+O7*L7</f>
        <v>3523.2239399999999</v>
      </c>
      <c r="T7" s="105">
        <f t="shared" ref="T7" si="19">80%*(K7*N7+L7*O7)</f>
        <v>2818.5791520000002</v>
      </c>
      <c r="U7" s="105">
        <f t="shared" ref="U7" si="20">I7*M7</f>
        <v>92.088589999999996</v>
      </c>
      <c r="V7" s="105">
        <f t="shared" ref="V7" si="21">20%*K7*N7</f>
        <v>0</v>
      </c>
      <c r="W7" s="105">
        <f t="shared" ref="W7" si="22">20%*L7*O7</f>
        <v>704.64478800000006</v>
      </c>
      <c r="X7" s="105">
        <f t="shared" ref="X7" si="23">SUM(U7:W7)</f>
        <v>796.73337800000002</v>
      </c>
      <c r="Y7" s="107">
        <f t="shared" ref="Y7" si="24">X7/R7</f>
        <v>0.15095030633083731</v>
      </c>
      <c r="Z7" s="108">
        <f t="shared" ref="Z7" si="25">T7/M7</f>
        <v>0.78446400000000005</v>
      </c>
    </row>
    <row r="13" spans="1:26" ht="15.75" customHeight="1" x14ac:dyDescent="0.35"/>
    <row r="14" spans="1:26" ht="15.75" customHeight="1" x14ac:dyDescent="0.35"/>
    <row r="15" spans="1:26" ht="15.75" customHeight="1" x14ac:dyDescent="0.35"/>
    <row r="16" spans="1:26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DRE</vt:lpstr>
      <vt:lpstr>Projeção</vt:lpstr>
      <vt:lpstr>Financiamento</vt:lpstr>
      <vt:lpstr>Geração por usina</vt:lpstr>
      <vt:lpstr>Créditos CP</vt:lpstr>
      <vt:lpstr>Registro_inversores</vt:lpstr>
      <vt:lpstr>Créditos ZeroHum</vt:lpstr>
      <vt:lpstr>Crédito Pres Kennedy</vt:lpstr>
      <vt:lpstr>Faturamento 235</vt:lpstr>
      <vt:lpstr>Faturamento 281</vt:lpstr>
      <vt:lpstr>Faturamento Itaipu</vt:lpstr>
      <vt:lpstr>Faturamento Icaraí</vt:lpstr>
      <vt:lpstr>Faturamento Laura Jardim</vt:lpstr>
      <vt:lpstr>Faturamento Essencial</vt:lpstr>
      <vt:lpstr>Faturamento Geraldo Martins</vt:lpstr>
      <vt:lpstr>Faturamento Pio Borges</vt:lpstr>
      <vt:lpstr>Faturamento ZeroHum Maricá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Seraphim</dc:creator>
  <cp:lastModifiedBy>Lívia Paraquett</cp:lastModifiedBy>
  <dcterms:created xsi:type="dcterms:W3CDTF">2023-04-29T17:19:19Z</dcterms:created>
  <dcterms:modified xsi:type="dcterms:W3CDTF">2026-09-13T20:45:17Z</dcterms:modified>
</cp:coreProperties>
</file>